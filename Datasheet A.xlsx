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dha\Desktop\New folder\EXCEL PROJECT\"/>
    </mc:Choice>
  </mc:AlternateContent>
  <xr:revisionPtr revIDLastSave="0" documentId="13_ncr:1_{716E8FE3-853D-4A21-AB07-C0AC3B4F6A4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Daily Demand" sheetId="2" r:id="rId1"/>
    <sheet name="weathersit" sheetId="9" r:id="rId2"/>
    <sheet name="Temp" sheetId="10" r:id="rId3"/>
    <sheet name="Holiday" sheetId="14" r:id="rId4"/>
    <sheet name="Windspeed" sheetId="12" r:id="rId5"/>
    <sheet name="Hum" sheetId="13" r:id="rId6"/>
    <sheet name="Weekday" sheetId="15" r:id="rId7"/>
    <sheet name="Hr" sheetId="16" r:id="rId8"/>
    <sheet name="Datasheet A" sheetId="1" r:id="rId9"/>
  </sheets>
  <externalReferences>
    <externalReference r:id="rId10"/>
  </externalReferences>
  <definedNames>
    <definedName name="_xlnm._FilterDatabase" localSheetId="8" hidden="1">'Datasheet A'!$A$1:$O$611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J3" i="1"/>
  <c r="K3" i="1"/>
  <c r="L3" i="1"/>
  <c r="M3" i="1"/>
  <c r="N3" i="1"/>
  <c r="O3" i="1"/>
  <c r="I4" i="1"/>
  <c r="J4" i="1"/>
  <c r="K4" i="1"/>
  <c r="L4" i="1"/>
  <c r="M4" i="1"/>
  <c r="N4" i="1"/>
  <c r="O4" i="1"/>
  <c r="I5" i="1"/>
  <c r="J5" i="1"/>
  <c r="K5" i="1"/>
  <c r="L5" i="1"/>
  <c r="M5" i="1"/>
  <c r="N5" i="1"/>
  <c r="O5" i="1"/>
  <c r="I6" i="1"/>
  <c r="J6" i="1"/>
  <c r="K6" i="1"/>
  <c r="L6" i="1"/>
  <c r="M6" i="1"/>
  <c r="N6" i="1"/>
  <c r="O6" i="1"/>
  <c r="I7" i="1"/>
  <c r="J7" i="1"/>
  <c r="K7" i="1"/>
  <c r="L7" i="1"/>
  <c r="M7" i="1"/>
  <c r="N7" i="1"/>
  <c r="O7" i="1"/>
  <c r="I8" i="1"/>
  <c r="J8" i="1"/>
  <c r="K8" i="1"/>
  <c r="L8" i="1"/>
  <c r="M8" i="1"/>
  <c r="N8" i="1"/>
  <c r="O8" i="1"/>
  <c r="I9" i="1"/>
  <c r="J9" i="1"/>
  <c r="K9" i="1"/>
  <c r="L9" i="1"/>
  <c r="M9" i="1"/>
  <c r="N9" i="1"/>
  <c r="O9" i="1"/>
  <c r="I10" i="1"/>
  <c r="J10" i="1"/>
  <c r="K10" i="1"/>
  <c r="L10" i="1"/>
  <c r="M10" i="1"/>
  <c r="N10" i="1"/>
  <c r="O10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I20" i="1"/>
  <c r="J20" i="1"/>
  <c r="K20" i="1"/>
  <c r="L20" i="1"/>
  <c r="M20" i="1"/>
  <c r="N20" i="1"/>
  <c r="O20" i="1"/>
  <c r="I21" i="1"/>
  <c r="J21" i="1"/>
  <c r="K21" i="1"/>
  <c r="L21" i="1"/>
  <c r="M21" i="1"/>
  <c r="N21" i="1"/>
  <c r="O21" i="1"/>
  <c r="I22" i="1"/>
  <c r="J22" i="1"/>
  <c r="K22" i="1"/>
  <c r="L22" i="1"/>
  <c r="M22" i="1"/>
  <c r="N22" i="1"/>
  <c r="O22" i="1"/>
  <c r="I23" i="1"/>
  <c r="J23" i="1"/>
  <c r="K23" i="1"/>
  <c r="L23" i="1"/>
  <c r="M23" i="1"/>
  <c r="N23" i="1"/>
  <c r="O23" i="1"/>
  <c r="I24" i="1"/>
  <c r="J24" i="1"/>
  <c r="K24" i="1"/>
  <c r="L24" i="1"/>
  <c r="M24" i="1"/>
  <c r="N24" i="1"/>
  <c r="O24" i="1"/>
  <c r="I25" i="1"/>
  <c r="J25" i="1"/>
  <c r="K25" i="1"/>
  <c r="L25" i="1"/>
  <c r="M25" i="1"/>
  <c r="N25" i="1"/>
  <c r="O25" i="1"/>
  <c r="I26" i="1"/>
  <c r="J26" i="1"/>
  <c r="K26" i="1"/>
  <c r="L26" i="1"/>
  <c r="M26" i="1"/>
  <c r="N26" i="1"/>
  <c r="O26" i="1"/>
  <c r="I27" i="1"/>
  <c r="J27" i="1"/>
  <c r="K27" i="1"/>
  <c r="L27" i="1"/>
  <c r="M27" i="1"/>
  <c r="N27" i="1"/>
  <c r="O27" i="1"/>
  <c r="I28" i="1"/>
  <c r="J28" i="1"/>
  <c r="K28" i="1"/>
  <c r="L28" i="1"/>
  <c r="M28" i="1"/>
  <c r="N28" i="1"/>
  <c r="O28" i="1"/>
  <c r="I29" i="1"/>
  <c r="J29" i="1"/>
  <c r="K29" i="1"/>
  <c r="L29" i="1"/>
  <c r="M29" i="1"/>
  <c r="N29" i="1"/>
  <c r="O29" i="1"/>
  <c r="I30" i="1"/>
  <c r="J30" i="1"/>
  <c r="K30" i="1"/>
  <c r="L30" i="1"/>
  <c r="M30" i="1"/>
  <c r="N30" i="1"/>
  <c r="O30" i="1"/>
  <c r="I31" i="1"/>
  <c r="J31" i="1"/>
  <c r="K31" i="1"/>
  <c r="L31" i="1"/>
  <c r="M31" i="1"/>
  <c r="N31" i="1"/>
  <c r="O31" i="1"/>
  <c r="I32" i="1"/>
  <c r="J32" i="1"/>
  <c r="K32" i="1"/>
  <c r="L32" i="1"/>
  <c r="M32" i="1"/>
  <c r="N32" i="1"/>
  <c r="O32" i="1"/>
  <c r="I33" i="1"/>
  <c r="J33" i="1"/>
  <c r="K33" i="1"/>
  <c r="L33" i="1"/>
  <c r="M33" i="1"/>
  <c r="N33" i="1"/>
  <c r="O33" i="1"/>
  <c r="I34" i="1"/>
  <c r="J34" i="1"/>
  <c r="K34" i="1"/>
  <c r="L34" i="1"/>
  <c r="M34" i="1"/>
  <c r="N34" i="1"/>
  <c r="O34" i="1"/>
  <c r="I35" i="1"/>
  <c r="J35" i="1"/>
  <c r="K35" i="1"/>
  <c r="L35" i="1"/>
  <c r="M35" i="1"/>
  <c r="N35" i="1"/>
  <c r="O35" i="1"/>
  <c r="I36" i="1"/>
  <c r="J36" i="1"/>
  <c r="K36" i="1"/>
  <c r="L36" i="1"/>
  <c r="M36" i="1"/>
  <c r="N36" i="1"/>
  <c r="O36" i="1"/>
  <c r="I37" i="1"/>
  <c r="J37" i="1"/>
  <c r="K37" i="1"/>
  <c r="L37" i="1"/>
  <c r="M37" i="1"/>
  <c r="N37" i="1"/>
  <c r="O37" i="1"/>
  <c r="I38" i="1"/>
  <c r="J38" i="1"/>
  <c r="K38" i="1"/>
  <c r="L38" i="1"/>
  <c r="M38" i="1"/>
  <c r="N38" i="1"/>
  <c r="O38" i="1"/>
  <c r="I39" i="1"/>
  <c r="J39" i="1"/>
  <c r="K39" i="1"/>
  <c r="L39" i="1"/>
  <c r="M39" i="1"/>
  <c r="N39" i="1"/>
  <c r="O39" i="1"/>
  <c r="I40" i="1"/>
  <c r="J40" i="1"/>
  <c r="K40" i="1"/>
  <c r="L40" i="1"/>
  <c r="M40" i="1"/>
  <c r="N40" i="1"/>
  <c r="O40" i="1"/>
  <c r="I41" i="1"/>
  <c r="J41" i="1"/>
  <c r="K41" i="1"/>
  <c r="L41" i="1"/>
  <c r="M41" i="1"/>
  <c r="N41" i="1"/>
  <c r="O41" i="1"/>
  <c r="I42" i="1"/>
  <c r="J42" i="1"/>
  <c r="K42" i="1"/>
  <c r="L42" i="1"/>
  <c r="M42" i="1"/>
  <c r="N42" i="1"/>
  <c r="O42" i="1"/>
  <c r="I43" i="1"/>
  <c r="J43" i="1"/>
  <c r="K43" i="1"/>
  <c r="L43" i="1"/>
  <c r="M43" i="1"/>
  <c r="N43" i="1"/>
  <c r="O43" i="1"/>
  <c r="I44" i="1"/>
  <c r="J44" i="1"/>
  <c r="K44" i="1"/>
  <c r="L44" i="1"/>
  <c r="M44" i="1"/>
  <c r="N44" i="1"/>
  <c r="O44" i="1"/>
  <c r="I45" i="1"/>
  <c r="J45" i="1"/>
  <c r="K45" i="1"/>
  <c r="L45" i="1"/>
  <c r="M45" i="1"/>
  <c r="N45" i="1"/>
  <c r="O45" i="1"/>
  <c r="I46" i="1"/>
  <c r="J46" i="1"/>
  <c r="K46" i="1"/>
  <c r="L46" i="1"/>
  <c r="M46" i="1"/>
  <c r="N46" i="1"/>
  <c r="O46" i="1"/>
  <c r="I47" i="1"/>
  <c r="J47" i="1"/>
  <c r="K47" i="1"/>
  <c r="L47" i="1"/>
  <c r="M47" i="1"/>
  <c r="N47" i="1"/>
  <c r="O47" i="1"/>
  <c r="I48" i="1"/>
  <c r="J48" i="1"/>
  <c r="K48" i="1"/>
  <c r="L48" i="1"/>
  <c r="M48" i="1"/>
  <c r="N48" i="1"/>
  <c r="O48" i="1"/>
  <c r="I49" i="1"/>
  <c r="J49" i="1"/>
  <c r="K49" i="1"/>
  <c r="L49" i="1"/>
  <c r="M49" i="1"/>
  <c r="N49" i="1"/>
  <c r="O49" i="1"/>
  <c r="I50" i="1"/>
  <c r="J50" i="1"/>
  <c r="K50" i="1"/>
  <c r="L50" i="1"/>
  <c r="M50" i="1"/>
  <c r="N50" i="1"/>
  <c r="O50" i="1"/>
  <c r="I51" i="1"/>
  <c r="J51" i="1"/>
  <c r="K51" i="1"/>
  <c r="L51" i="1"/>
  <c r="M51" i="1"/>
  <c r="N51" i="1"/>
  <c r="O51" i="1"/>
  <c r="I52" i="1"/>
  <c r="J52" i="1"/>
  <c r="K52" i="1"/>
  <c r="L52" i="1"/>
  <c r="M52" i="1"/>
  <c r="N52" i="1"/>
  <c r="O52" i="1"/>
  <c r="I53" i="1"/>
  <c r="J53" i="1"/>
  <c r="K53" i="1"/>
  <c r="L53" i="1"/>
  <c r="M53" i="1"/>
  <c r="N53" i="1"/>
  <c r="O53" i="1"/>
  <c r="I54" i="1"/>
  <c r="J54" i="1"/>
  <c r="K54" i="1"/>
  <c r="L54" i="1"/>
  <c r="M54" i="1"/>
  <c r="N54" i="1"/>
  <c r="O54" i="1"/>
  <c r="I55" i="1"/>
  <c r="J55" i="1"/>
  <c r="K55" i="1"/>
  <c r="L55" i="1"/>
  <c r="M55" i="1"/>
  <c r="N55" i="1"/>
  <c r="O55" i="1"/>
  <c r="I56" i="1"/>
  <c r="J56" i="1"/>
  <c r="K56" i="1"/>
  <c r="L56" i="1"/>
  <c r="M56" i="1"/>
  <c r="N56" i="1"/>
  <c r="O56" i="1"/>
  <c r="I57" i="1"/>
  <c r="J57" i="1"/>
  <c r="K57" i="1"/>
  <c r="L57" i="1"/>
  <c r="M57" i="1"/>
  <c r="N57" i="1"/>
  <c r="O57" i="1"/>
  <c r="I58" i="1"/>
  <c r="J58" i="1"/>
  <c r="K58" i="1"/>
  <c r="L58" i="1"/>
  <c r="M58" i="1"/>
  <c r="N58" i="1"/>
  <c r="O58" i="1"/>
  <c r="I59" i="1"/>
  <c r="J59" i="1"/>
  <c r="K59" i="1"/>
  <c r="L59" i="1"/>
  <c r="M59" i="1"/>
  <c r="N59" i="1"/>
  <c r="O59" i="1"/>
  <c r="I60" i="1"/>
  <c r="J60" i="1"/>
  <c r="K60" i="1"/>
  <c r="L60" i="1"/>
  <c r="M60" i="1"/>
  <c r="N60" i="1"/>
  <c r="O60" i="1"/>
  <c r="I61" i="1"/>
  <c r="J61" i="1"/>
  <c r="K61" i="1"/>
  <c r="L61" i="1"/>
  <c r="M61" i="1"/>
  <c r="N61" i="1"/>
  <c r="O61" i="1"/>
  <c r="I62" i="1"/>
  <c r="J62" i="1"/>
  <c r="K62" i="1"/>
  <c r="L62" i="1"/>
  <c r="M62" i="1"/>
  <c r="N62" i="1"/>
  <c r="O62" i="1"/>
  <c r="I63" i="1"/>
  <c r="J63" i="1"/>
  <c r="K63" i="1"/>
  <c r="L63" i="1"/>
  <c r="M63" i="1"/>
  <c r="N63" i="1"/>
  <c r="O63" i="1"/>
  <c r="I64" i="1"/>
  <c r="J64" i="1"/>
  <c r="K64" i="1"/>
  <c r="L64" i="1"/>
  <c r="M64" i="1"/>
  <c r="N64" i="1"/>
  <c r="O64" i="1"/>
  <c r="I65" i="1"/>
  <c r="J65" i="1"/>
  <c r="K65" i="1"/>
  <c r="L65" i="1"/>
  <c r="M65" i="1"/>
  <c r="N65" i="1"/>
  <c r="O65" i="1"/>
  <c r="I66" i="1"/>
  <c r="J66" i="1"/>
  <c r="K66" i="1"/>
  <c r="L66" i="1"/>
  <c r="M66" i="1"/>
  <c r="N66" i="1"/>
  <c r="O66" i="1"/>
  <c r="I67" i="1"/>
  <c r="J67" i="1"/>
  <c r="K67" i="1"/>
  <c r="L67" i="1"/>
  <c r="M67" i="1"/>
  <c r="N67" i="1"/>
  <c r="O67" i="1"/>
  <c r="I68" i="1"/>
  <c r="J68" i="1"/>
  <c r="K68" i="1"/>
  <c r="L68" i="1"/>
  <c r="M68" i="1"/>
  <c r="N68" i="1"/>
  <c r="O68" i="1"/>
  <c r="I69" i="1"/>
  <c r="J69" i="1"/>
  <c r="K69" i="1"/>
  <c r="L69" i="1"/>
  <c r="M69" i="1"/>
  <c r="N69" i="1"/>
  <c r="O69" i="1"/>
  <c r="I70" i="1"/>
  <c r="J70" i="1"/>
  <c r="K70" i="1"/>
  <c r="L70" i="1"/>
  <c r="M70" i="1"/>
  <c r="N70" i="1"/>
  <c r="O70" i="1"/>
  <c r="I71" i="1"/>
  <c r="J71" i="1"/>
  <c r="K71" i="1"/>
  <c r="L71" i="1"/>
  <c r="M71" i="1"/>
  <c r="N71" i="1"/>
  <c r="O71" i="1"/>
  <c r="I72" i="1"/>
  <c r="J72" i="1"/>
  <c r="K72" i="1"/>
  <c r="L72" i="1"/>
  <c r="M72" i="1"/>
  <c r="N72" i="1"/>
  <c r="O72" i="1"/>
  <c r="I73" i="1"/>
  <c r="J73" i="1"/>
  <c r="K73" i="1"/>
  <c r="L73" i="1"/>
  <c r="M73" i="1"/>
  <c r="N73" i="1"/>
  <c r="O73" i="1"/>
  <c r="I74" i="1"/>
  <c r="J74" i="1"/>
  <c r="K74" i="1"/>
  <c r="L74" i="1"/>
  <c r="M74" i="1"/>
  <c r="N74" i="1"/>
  <c r="O74" i="1"/>
  <c r="I75" i="1"/>
  <c r="J75" i="1"/>
  <c r="K75" i="1"/>
  <c r="L75" i="1"/>
  <c r="M75" i="1"/>
  <c r="N75" i="1"/>
  <c r="O75" i="1"/>
  <c r="I76" i="1"/>
  <c r="J76" i="1"/>
  <c r="K76" i="1"/>
  <c r="L76" i="1"/>
  <c r="M76" i="1"/>
  <c r="N76" i="1"/>
  <c r="O76" i="1"/>
  <c r="I77" i="1"/>
  <c r="J77" i="1"/>
  <c r="K77" i="1"/>
  <c r="L77" i="1"/>
  <c r="M77" i="1"/>
  <c r="N77" i="1"/>
  <c r="O77" i="1"/>
  <c r="I78" i="1"/>
  <c r="J78" i="1"/>
  <c r="K78" i="1"/>
  <c r="L78" i="1"/>
  <c r="M78" i="1"/>
  <c r="N78" i="1"/>
  <c r="O78" i="1"/>
  <c r="I79" i="1"/>
  <c r="J79" i="1"/>
  <c r="K79" i="1"/>
  <c r="L79" i="1"/>
  <c r="M79" i="1"/>
  <c r="N79" i="1"/>
  <c r="O79" i="1"/>
  <c r="I80" i="1"/>
  <c r="J80" i="1"/>
  <c r="K80" i="1"/>
  <c r="L80" i="1"/>
  <c r="M80" i="1"/>
  <c r="N80" i="1"/>
  <c r="O80" i="1"/>
  <c r="I81" i="1"/>
  <c r="J81" i="1"/>
  <c r="K81" i="1"/>
  <c r="L81" i="1"/>
  <c r="M81" i="1"/>
  <c r="N81" i="1"/>
  <c r="O81" i="1"/>
  <c r="I82" i="1"/>
  <c r="J82" i="1"/>
  <c r="K82" i="1"/>
  <c r="L82" i="1"/>
  <c r="M82" i="1"/>
  <c r="N82" i="1"/>
  <c r="O82" i="1"/>
  <c r="I83" i="1"/>
  <c r="J83" i="1"/>
  <c r="K83" i="1"/>
  <c r="L83" i="1"/>
  <c r="M83" i="1"/>
  <c r="N83" i="1"/>
  <c r="O83" i="1"/>
  <c r="I84" i="1"/>
  <c r="J84" i="1"/>
  <c r="K84" i="1"/>
  <c r="L84" i="1"/>
  <c r="M84" i="1"/>
  <c r="N84" i="1"/>
  <c r="O84" i="1"/>
  <c r="I85" i="1"/>
  <c r="J85" i="1"/>
  <c r="K85" i="1"/>
  <c r="L85" i="1"/>
  <c r="M85" i="1"/>
  <c r="N85" i="1"/>
  <c r="O85" i="1"/>
  <c r="I86" i="1"/>
  <c r="J86" i="1"/>
  <c r="K86" i="1"/>
  <c r="L86" i="1"/>
  <c r="M86" i="1"/>
  <c r="N86" i="1"/>
  <c r="O86" i="1"/>
  <c r="I87" i="1"/>
  <c r="J87" i="1"/>
  <c r="K87" i="1"/>
  <c r="L87" i="1"/>
  <c r="M87" i="1"/>
  <c r="N87" i="1"/>
  <c r="O87" i="1"/>
  <c r="I88" i="1"/>
  <c r="J88" i="1"/>
  <c r="K88" i="1"/>
  <c r="L88" i="1"/>
  <c r="M88" i="1"/>
  <c r="N88" i="1"/>
  <c r="O88" i="1"/>
  <c r="I89" i="1"/>
  <c r="J89" i="1"/>
  <c r="K89" i="1"/>
  <c r="L89" i="1"/>
  <c r="M89" i="1"/>
  <c r="N89" i="1"/>
  <c r="O89" i="1"/>
  <c r="I90" i="1"/>
  <c r="J90" i="1"/>
  <c r="K90" i="1"/>
  <c r="L90" i="1"/>
  <c r="M90" i="1"/>
  <c r="N90" i="1"/>
  <c r="O90" i="1"/>
  <c r="I91" i="1"/>
  <c r="J91" i="1"/>
  <c r="K91" i="1"/>
  <c r="L91" i="1"/>
  <c r="M91" i="1"/>
  <c r="N91" i="1"/>
  <c r="O91" i="1"/>
  <c r="I92" i="1"/>
  <c r="J92" i="1"/>
  <c r="K92" i="1"/>
  <c r="L92" i="1"/>
  <c r="M92" i="1"/>
  <c r="N92" i="1"/>
  <c r="O92" i="1"/>
  <c r="I93" i="1"/>
  <c r="J93" i="1"/>
  <c r="K93" i="1"/>
  <c r="L93" i="1"/>
  <c r="M93" i="1"/>
  <c r="N93" i="1"/>
  <c r="O93" i="1"/>
  <c r="I94" i="1"/>
  <c r="J94" i="1"/>
  <c r="K94" i="1"/>
  <c r="L94" i="1"/>
  <c r="M94" i="1"/>
  <c r="N94" i="1"/>
  <c r="O94" i="1"/>
  <c r="I95" i="1"/>
  <c r="J95" i="1"/>
  <c r="K95" i="1"/>
  <c r="L95" i="1"/>
  <c r="M95" i="1"/>
  <c r="N95" i="1"/>
  <c r="O95" i="1"/>
  <c r="I96" i="1"/>
  <c r="J96" i="1"/>
  <c r="K96" i="1"/>
  <c r="L96" i="1"/>
  <c r="M96" i="1"/>
  <c r="N96" i="1"/>
  <c r="O96" i="1"/>
  <c r="I97" i="1"/>
  <c r="J97" i="1"/>
  <c r="K97" i="1"/>
  <c r="L97" i="1"/>
  <c r="M97" i="1"/>
  <c r="N97" i="1"/>
  <c r="O97" i="1"/>
  <c r="I98" i="1"/>
  <c r="J98" i="1"/>
  <c r="K98" i="1"/>
  <c r="L98" i="1"/>
  <c r="M98" i="1"/>
  <c r="N98" i="1"/>
  <c r="O98" i="1"/>
  <c r="I99" i="1"/>
  <c r="J99" i="1"/>
  <c r="K99" i="1"/>
  <c r="L99" i="1"/>
  <c r="M99" i="1"/>
  <c r="N99" i="1"/>
  <c r="O99" i="1"/>
  <c r="I100" i="1"/>
  <c r="J100" i="1"/>
  <c r="K100" i="1"/>
  <c r="L100" i="1"/>
  <c r="M100" i="1"/>
  <c r="N100" i="1"/>
  <c r="O100" i="1"/>
  <c r="I101" i="1"/>
  <c r="J101" i="1"/>
  <c r="K101" i="1"/>
  <c r="L101" i="1"/>
  <c r="M101" i="1"/>
  <c r="N101" i="1"/>
  <c r="O101" i="1"/>
  <c r="I102" i="1"/>
  <c r="J102" i="1"/>
  <c r="K102" i="1"/>
  <c r="L102" i="1"/>
  <c r="M102" i="1"/>
  <c r="N102" i="1"/>
  <c r="O102" i="1"/>
  <c r="I103" i="1"/>
  <c r="J103" i="1"/>
  <c r="K103" i="1"/>
  <c r="L103" i="1"/>
  <c r="M103" i="1"/>
  <c r="N103" i="1"/>
  <c r="O103" i="1"/>
  <c r="I104" i="1"/>
  <c r="J104" i="1"/>
  <c r="K104" i="1"/>
  <c r="L104" i="1"/>
  <c r="M104" i="1"/>
  <c r="N104" i="1"/>
  <c r="O104" i="1"/>
  <c r="I105" i="1"/>
  <c r="J105" i="1"/>
  <c r="K105" i="1"/>
  <c r="L105" i="1"/>
  <c r="M105" i="1"/>
  <c r="N105" i="1"/>
  <c r="O105" i="1"/>
  <c r="I106" i="1"/>
  <c r="J106" i="1"/>
  <c r="K106" i="1"/>
  <c r="L106" i="1"/>
  <c r="M106" i="1"/>
  <c r="N106" i="1"/>
  <c r="O106" i="1"/>
  <c r="I107" i="1"/>
  <c r="J107" i="1"/>
  <c r="K107" i="1"/>
  <c r="L107" i="1"/>
  <c r="M107" i="1"/>
  <c r="N107" i="1"/>
  <c r="O107" i="1"/>
  <c r="I108" i="1"/>
  <c r="J108" i="1"/>
  <c r="K108" i="1"/>
  <c r="L108" i="1"/>
  <c r="M108" i="1"/>
  <c r="N108" i="1"/>
  <c r="O108" i="1"/>
  <c r="I109" i="1"/>
  <c r="J109" i="1"/>
  <c r="K109" i="1"/>
  <c r="L109" i="1"/>
  <c r="M109" i="1"/>
  <c r="N109" i="1"/>
  <c r="O109" i="1"/>
  <c r="I110" i="1"/>
  <c r="J110" i="1"/>
  <c r="K110" i="1"/>
  <c r="L110" i="1"/>
  <c r="M110" i="1"/>
  <c r="N110" i="1"/>
  <c r="O110" i="1"/>
  <c r="I111" i="1"/>
  <c r="J111" i="1"/>
  <c r="K111" i="1"/>
  <c r="L111" i="1"/>
  <c r="M111" i="1"/>
  <c r="N111" i="1"/>
  <c r="O111" i="1"/>
  <c r="I112" i="1"/>
  <c r="J112" i="1"/>
  <c r="K112" i="1"/>
  <c r="L112" i="1"/>
  <c r="M112" i="1"/>
  <c r="N112" i="1"/>
  <c r="O112" i="1"/>
  <c r="I113" i="1"/>
  <c r="J113" i="1"/>
  <c r="K113" i="1"/>
  <c r="L113" i="1"/>
  <c r="M113" i="1"/>
  <c r="N113" i="1"/>
  <c r="O113" i="1"/>
  <c r="I114" i="1"/>
  <c r="J114" i="1"/>
  <c r="K114" i="1"/>
  <c r="L114" i="1"/>
  <c r="M114" i="1"/>
  <c r="N114" i="1"/>
  <c r="O114" i="1"/>
  <c r="I115" i="1"/>
  <c r="J115" i="1"/>
  <c r="K115" i="1"/>
  <c r="L115" i="1"/>
  <c r="M115" i="1"/>
  <c r="N115" i="1"/>
  <c r="O115" i="1"/>
  <c r="I116" i="1"/>
  <c r="J116" i="1"/>
  <c r="K116" i="1"/>
  <c r="L116" i="1"/>
  <c r="M116" i="1"/>
  <c r="N116" i="1"/>
  <c r="O116" i="1"/>
  <c r="I117" i="1"/>
  <c r="J117" i="1"/>
  <c r="K117" i="1"/>
  <c r="L117" i="1"/>
  <c r="M117" i="1"/>
  <c r="N117" i="1"/>
  <c r="O117" i="1"/>
  <c r="I118" i="1"/>
  <c r="J118" i="1"/>
  <c r="K118" i="1"/>
  <c r="L118" i="1"/>
  <c r="M118" i="1"/>
  <c r="N118" i="1"/>
  <c r="O118" i="1"/>
  <c r="I119" i="1"/>
  <c r="J119" i="1"/>
  <c r="K119" i="1"/>
  <c r="L119" i="1"/>
  <c r="M119" i="1"/>
  <c r="N119" i="1"/>
  <c r="O119" i="1"/>
  <c r="I120" i="1"/>
  <c r="J120" i="1"/>
  <c r="K120" i="1"/>
  <c r="L120" i="1"/>
  <c r="M120" i="1"/>
  <c r="N120" i="1"/>
  <c r="O120" i="1"/>
  <c r="I121" i="1"/>
  <c r="J121" i="1"/>
  <c r="K121" i="1"/>
  <c r="L121" i="1"/>
  <c r="M121" i="1"/>
  <c r="N121" i="1"/>
  <c r="O121" i="1"/>
  <c r="I122" i="1"/>
  <c r="J122" i="1"/>
  <c r="K122" i="1"/>
  <c r="L122" i="1"/>
  <c r="M122" i="1"/>
  <c r="N122" i="1"/>
  <c r="O122" i="1"/>
  <c r="I123" i="1"/>
  <c r="J123" i="1"/>
  <c r="K123" i="1"/>
  <c r="L123" i="1"/>
  <c r="M123" i="1"/>
  <c r="N123" i="1"/>
  <c r="O123" i="1"/>
  <c r="I124" i="1"/>
  <c r="J124" i="1"/>
  <c r="K124" i="1"/>
  <c r="L124" i="1"/>
  <c r="M124" i="1"/>
  <c r="N124" i="1"/>
  <c r="O124" i="1"/>
  <c r="I125" i="1"/>
  <c r="J125" i="1"/>
  <c r="K125" i="1"/>
  <c r="L125" i="1"/>
  <c r="M125" i="1"/>
  <c r="N125" i="1"/>
  <c r="O125" i="1"/>
  <c r="I126" i="1"/>
  <c r="J126" i="1"/>
  <c r="K126" i="1"/>
  <c r="L126" i="1"/>
  <c r="M126" i="1"/>
  <c r="N126" i="1"/>
  <c r="O126" i="1"/>
  <c r="I127" i="1"/>
  <c r="J127" i="1"/>
  <c r="K127" i="1"/>
  <c r="L127" i="1"/>
  <c r="M127" i="1"/>
  <c r="N127" i="1"/>
  <c r="O127" i="1"/>
  <c r="I128" i="1"/>
  <c r="J128" i="1"/>
  <c r="K128" i="1"/>
  <c r="L128" i="1"/>
  <c r="M128" i="1"/>
  <c r="N128" i="1"/>
  <c r="O128" i="1"/>
  <c r="I129" i="1"/>
  <c r="J129" i="1"/>
  <c r="K129" i="1"/>
  <c r="L129" i="1"/>
  <c r="M129" i="1"/>
  <c r="N129" i="1"/>
  <c r="O129" i="1"/>
  <c r="I130" i="1"/>
  <c r="J130" i="1"/>
  <c r="K130" i="1"/>
  <c r="L130" i="1"/>
  <c r="M130" i="1"/>
  <c r="N130" i="1"/>
  <c r="O130" i="1"/>
  <c r="I131" i="1"/>
  <c r="J131" i="1"/>
  <c r="K131" i="1"/>
  <c r="L131" i="1"/>
  <c r="M131" i="1"/>
  <c r="N131" i="1"/>
  <c r="O131" i="1"/>
  <c r="I132" i="1"/>
  <c r="J132" i="1"/>
  <c r="K132" i="1"/>
  <c r="L132" i="1"/>
  <c r="M132" i="1"/>
  <c r="N132" i="1"/>
  <c r="O132" i="1"/>
  <c r="I133" i="1"/>
  <c r="J133" i="1"/>
  <c r="K133" i="1"/>
  <c r="L133" i="1"/>
  <c r="M133" i="1"/>
  <c r="N133" i="1"/>
  <c r="O133" i="1"/>
  <c r="I134" i="1"/>
  <c r="J134" i="1"/>
  <c r="K134" i="1"/>
  <c r="L134" i="1"/>
  <c r="M134" i="1"/>
  <c r="N134" i="1"/>
  <c r="O134" i="1"/>
  <c r="I135" i="1"/>
  <c r="J135" i="1"/>
  <c r="K135" i="1"/>
  <c r="L135" i="1"/>
  <c r="M135" i="1"/>
  <c r="N135" i="1"/>
  <c r="O135" i="1"/>
  <c r="I136" i="1"/>
  <c r="J136" i="1"/>
  <c r="K136" i="1"/>
  <c r="L136" i="1"/>
  <c r="M136" i="1"/>
  <c r="N136" i="1"/>
  <c r="O136" i="1"/>
  <c r="I137" i="1"/>
  <c r="J137" i="1"/>
  <c r="K137" i="1"/>
  <c r="L137" i="1"/>
  <c r="M137" i="1"/>
  <c r="N137" i="1"/>
  <c r="O137" i="1"/>
  <c r="I138" i="1"/>
  <c r="J138" i="1"/>
  <c r="K138" i="1"/>
  <c r="L138" i="1"/>
  <c r="M138" i="1"/>
  <c r="N138" i="1"/>
  <c r="O138" i="1"/>
  <c r="I139" i="1"/>
  <c r="J139" i="1"/>
  <c r="K139" i="1"/>
  <c r="L139" i="1"/>
  <c r="M139" i="1"/>
  <c r="N139" i="1"/>
  <c r="O139" i="1"/>
  <c r="I140" i="1"/>
  <c r="J140" i="1"/>
  <c r="K140" i="1"/>
  <c r="L140" i="1"/>
  <c r="M140" i="1"/>
  <c r="N140" i="1"/>
  <c r="O140" i="1"/>
  <c r="I141" i="1"/>
  <c r="J141" i="1"/>
  <c r="K141" i="1"/>
  <c r="L141" i="1"/>
  <c r="M141" i="1"/>
  <c r="N141" i="1"/>
  <c r="O141" i="1"/>
  <c r="I142" i="1"/>
  <c r="J142" i="1"/>
  <c r="K142" i="1"/>
  <c r="L142" i="1"/>
  <c r="M142" i="1"/>
  <c r="N142" i="1"/>
  <c r="O142" i="1"/>
  <c r="I143" i="1"/>
  <c r="J143" i="1"/>
  <c r="K143" i="1"/>
  <c r="L143" i="1"/>
  <c r="M143" i="1"/>
  <c r="N143" i="1"/>
  <c r="O143" i="1"/>
  <c r="I144" i="1"/>
  <c r="J144" i="1"/>
  <c r="K144" i="1"/>
  <c r="L144" i="1"/>
  <c r="M144" i="1"/>
  <c r="N144" i="1"/>
  <c r="O144" i="1"/>
  <c r="I145" i="1"/>
  <c r="J145" i="1"/>
  <c r="K145" i="1"/>
  <c r="L145" i="1"/>
  <c r="M145" i="1"/>
  <c r="N145" i="1"/>
  <c r="O145" i="1"/>
  <c r="I146" i="1"/>
  <c r="J146" i="1"/>
  <c r="K146" i="1"/>
  <c r="L146" i="1"/>
  <c r="M146" i="1"/>
  <c r="N146" i="1"/>
  <c r="O146" i="1"/>
  <c r="I147" i="1"/>
  <c r="J147" i="1"/>
  <c r="K147" i="1"/>
  <c r="L147" i="1"/>
  <c r="M147" i="1"/>
  <c r="N147" i="1"/>
  <c r="O147" i="1"/>
  <c r="I148" i="1"/>
  <c r="J148" i="1"/>
  <c r="K148" i="1"/>
  <c r="L148" i="1"/>
  <c r="M148" i="1"/>
  <c r="N148" i="1"/>
  <c r="O148" i="1"/>
  <c r="I149" i="1"/>
  <c r="J149" i="1"/>
  <c r="K149" i="1"/>
  <c r="L149" i="1"/>
  <c r="M149" i="1"/>
  <c r="N149" i="1"/>
  <c r="O149" i="1"/>
  <c r="I150" i="1"/>
  <c r="J150" i="1"/>
  <c r="K150" i="1"/>
  <c r="L150" i="1"/>
  <c r="M150" i="1"/>
  <c r="N150" i="1"/>
  <c r="O150" i="1"/>
  <c r="I151" i="1"/>
  <c r="J151" i="1"/>
  <c r="K151" i="1"/>
  <c r="L151" i="1"/>
  <c r="M151" i="1"/>
  <c r="N151" i="1"/>
  <c r="O151" i="1"/>
  <c r="I152" i="1"/>
  <c r="J152" i="1"/>
  <c r="K152" i="1"/>
  <c r="L152" i="1"/>
  <c r="M152" i="1"/>
  <c r="N152" i="1"/>
  <c r="O152" i="1"/>
  <c r="I153" i="1"/>
  <c r="J153" i="1"/>
  <c r="K153" i="1"/>
  <c r="L153" i="1"/>
  <c r="M153" i="1"/>
  <c r="N153" i="1"/>
  <c r="O153" i="1"/>
  <c r="I154" i="1"/>
  <c r="J154" i="1"/>
  <c r="K154" i="1"/>
  <c r="L154" i="1"/>
  <c r="M154" i="1"/>
  <c r="N154" i="1"/>
  <c r="O154" i="1"/>
  <c r="I155" i="1"/>
  <c r="J155" i="1"/>
  <c r="K155" i="1"/>
  <c r="L155" i="1"/>
  <c r="M155" i="1"/>
  <c r="N155" i="1"/>
  <c r="O155" i="1"/>
  <c r="I156" i="1"/>
  <c r="J156" i="1"/>
  <c r="K156" i="1"/>
  <c r="L156" i="1"/>
  <c r="M156" i="1"/>
  <c r="N156" i="1"/>
  <c r="O156" i="1"/>
  <c r="I157" i="1"/>
  <c r="J157" i="1"/>
  <c r="K157" i="1"/>
  <c r="L157" i="1"/>
  <c r="M157" i="1"/>
  <c r="N157" i="1"/>
  <c r="O157" i="1"/>
  <c r="I158" i="1"/>
  <c r="J158" i="1"/>
  <c r="K158" i="1"/>
  <c r="L158" i="1"/>
  <c r="M158" i="1"/>
  <c r="N158" i="1"/>
  <c r="O158" i="1"/>
  <c r="I159" i="1"/>
  <c r="J159" i="1"/>
  <c r="K159" i="1"/>
  <c r="L159" i="1"/>
  <c r="M159" i="1"/>
  <c r="N159" i="1"/>
  <c r="O159" i="1"/>
  <c r="I160" i="1"/>
  <c r="J160" i="1"/>
  <c r="K160" i="1"/>
  <c r="L160" i="1"/>
  <c r="M160" i="1"/>
  <c r="N160" i="1"/>
  <c r="O160" i="1"/>
  <c r="I161" i="1"/>
  <c r="J161" i="1"/>
  <c r="K161" i="1"/>
  <c r="L161" i="1"/>
  <c r="M161" i="1"/>
  <c r="N161" i="1"/>
  <c r="O161" i="1"/>
  <c r="I162" i="1"/>
  <c r="J162" i="1"/>
  <c r="K162" i="1"/>
  <c r="L162" i="1"/>
  <c r="M162" i="1"/>
  <c r="N162" i="1"/>
  <c r="O162" i="1"/>
  <c r="I163" i="1"/>
  <c r="J163" i="1"/>
  <c r="K163" i="1"/>
  <c r="L163" i="1"/>
  <c r="M163" i="1"/>
  <c r="N163" i="1"/>
  <c r="O163" i="1"/>
  <c r="I164" i="1"/>
  <c r="J164" i="1"/>
  <c r="K164" i="1"/>
  <c r="L164" i="1"/>
  <c r="M164" i="1"/>
  <c r="N164" i="1"/>
  <c r="O164" i="1"/>
  <c r="I165" i="1"/>
  <c r="J165" i="1"/>
  <c r="K165" i="1"/>
  <c r="L165" i="1"/>
  <c r="M165" i="1"/>
  <c r="N165" i="1"/>
  <c r="O165" i="1"/>
  <c r="I166" i="1"/>
  <c r="J166" i="1"/>
  <c r="K166" i="1"/>
  <c r="L166" i="1"/>
  <c r="M166" i="1"/>
  <c r="N166" i="1"/>
  <c r="O166" i="1"/>
  <c r="I167" i="1"/>
  <c r="J167" i="1"/>
  <c r="K167" i="1"/>
  <c r="L167" i="1"/>
  <c r="M167" i="1"/>
  <c r="N167" i="1"/>
  <c r="O167" i="1"/>
  <c r="I168" i="1"/>
  <c r="J168" i="1"/>
  <c r="K168" i="1"/>
  <c r="L168" i="1"/>
  <c r="M168" i="1"/>
  <c r="N168" i="1"/>
  <c r="O168" i="1"/>
  <c r="I169" i="1"/>
  <c r="J169" i="1"/>
  <c r="K169" i="1"/>
  <c r="L169" i="1"/>
  <c r="M169" i="1"/>
  <c r="N169" i="1"/>
  <c r="O169" i="1"/>
  <c r="I170" i="1"/>
  <c r="J170" i="1"/>
  <c r="K170" i="1"/>
  <c r="L170" i="1"/>
  <c r="M170" i="1"/>
  <c r="N170" i="1"/>
  <c r="O170" i="1"/>
  <c r="I171" i="1"/>
  <c r="J171" i="1"/>
  <c r="K171" i="1"/>
  <c r="L171" i="1"/>
  <c r="M171" i="1"/>
  <c r="N171" i="1"/>
  <c r="O171" i="1"/>
  <c r="I172" i="1"/>
  <c r="J172" i="1"/>
  <c r="K172" i="1"/>
  <c r="L172" i="1"/>
  <c r="M172" i="1"/>
  <c r="N172" i="1"/>
  <c r="O172" i="1"/>
  <c r="I173" i="1"/>
  <c r="J173" i="1"/>
  <c r="K173" i="1"/>
  <c r="L173" i="1"/>
  <c r="M173" i="1"/>
  <c r="N173" i="1"/>
  <c r="O173" i="1"/>
  <c r="I174" i="1"/>
  <c r="J174" i="1"/>
  <c r="K174" i="1"/>
  <c r="L174" i="1"/>
  <c r="M174" i="1"/>
  <c r="N174" i="1"/>
  <c r="O174" i="1"/>
  <c r="I175" i="1"/>
  <c r="J175" i="1"/>
  <c r="K175" i="1"/>
  <c r="L175" i="1"/>
  <c r="M175" i="1"/>
  <c r="N175" i="1"/>
  <c r="O175" i="1"/>
  <c r="I176" i="1"/>
  <c r="J176" i="1"/>
  <c r="K176" i="1"/>
  <c r="L176" i="1"/>
  <c r="M176" i="1"/>
  <c r="N176" i="1"/>
  <c r="O176" i="1"/>
  <c r="I177" i="1"/>
  <c r="J177" i="1"/>
  <c r="K177" i="1"/>
  <c r="L177" i="1"/>
  <c r="M177" i="1"/>
  <c r="N177" i="1"/>
  <c r="O177" i="1"/>
  <c r="I178" i="1"/>
  <c r="J178" i="1"/>
  <c r="K178" i="1"/>
  <c r="L178" i="1"/>
  <c r="M178" i="1"/>
  <c r="N178" i="1"/>
  <c r="O178" i="1"/>
  <c r="I179" i="1"/>
  <c r="J179" i="1"/>
  <c r="K179" i="1"/>
  <c r="L179" i="1"/>
  <c r="M179" i="1"/>
  <c r="N179" i="1"/>
  <c r="O179" i="1"/>
  <c r="I180" i="1"/>
  <c r="J180" i="1"/>
  <c r="K180" i="1"/>
  <c r="L180" i="1"/>
  <c r="M180" i="1"/>
  <c r="N180" i="1"/>
  <c r="O180" i="1"/>
  <c r="I181" i="1"/>
  <c r="J181" i="1"/>
  <c r="K181" i="1"/>
  <c r="L181" i="1"/>
  <c r="M181" i="1"/>
  <c r="N181" i="1"/>
  <c r="O181" i="1"/>
  <c r="I182" i="1"/>
  <c r="J182" i="1"/>
  <c r="K182" i="1"/>
  <c r="L182" i="1"/>
  <c r="M182" i="1"/>
  <c r="N182" i="1"/>
  <c r="O182" i="1"/>
  <c r="I183" i="1"/>
  <c r="J183" i="1"/>
  <c r="K183" i="1"/>
  <c r="L183" i="1"/>
  <c r="M183" i="1"/>
  <c r="N183" i="1"/>
  <c r="O183" i="1"/>
  <c r="I184" i="1"/>
  <c r="J184" i="1"/>
  <c r="K184" i="1"/>
  <c r="L184" i="1"/>
  <c r="M184" i="1"/>
  <c r="N184" i="1"/>
  <c r="O184" i="1"/>
  <c r="I185" i="1"/>
  <c r="J185" i="1"/>
  <c r="K185" i="1"/>
  <c r="L185" i="1"/>
  <c r="M185" i="1"/>
  <c r="N185" i="1"/>
  <c r="O185" i="1"/>
  <c r="I186" i="1"/>
  <c r="J186" i="1"/>
  <c r="K186" i="1"/>
  <c r="L186" i="1"/>
  <c r="M186" i="1"/>
  <c r="N186" i="1"/>
  <c r="O186" i="1"/>
  <c r="I187" i="1"/>
  <c r="J187" i="1"/>
  <c r="K187" i="1"/>
  <c r="L187" i="1"/>
  <c r="M187" i="1"/>
  <c r="N187" i="1"/>
  <c r="O187" i="1"/>
  <c r="I188" i="1"/>
  <c r="J188" i="1"/>
  <c r="K188" i="1"/>
  <c r="L188" i="1"/>
  <c r="M188" i="1"/>
  <c r="N188" i="1"/>
  <c r="O188" i="1"/>
  <c r="I189" i="1"/>
  <c r="J189" i="1"/>
  <c r="K189" i="1"/>
  <c r="L189" i="1"/>
  <c r="M189" i="1"/>
  <c r="N189" i="1"/>
  <c r="O189" i="1"/>
  <c r="I190" i="1"/>
  <c r="J190" i="1"/>
  <c r="K190" i="1"/>
  <c r="L190" i="1"/>
  <c r="M190" i="1"/>
  <c r="N190" i="1"/>
  <c r="O190" i="1"/>
  <c r="I191" i="1"/>
  <c r="J191" i="1"/>
  <c r="K191" i="1"/>
  <c r="L191" i="1"/>
  <c r="M191" i="1"/>
  <c r="N191" i="1"/>
  <c r="O191" i="1"/>
  <c r="I192" i="1"/>
  <c r="J192" i="1"/>
  <c r="K192" i="1"/>
  <c r="L192" i="1"/>
  <c r="M192" i="1"/>
  <c r="N192" i="1"/>
  <c r="O192" i="1"/>
  <c r="I193" i="1"/>
  <c r="J193" i="1"/>
  <c r="K193" i="1"/>
  <c r="L193" i="1"/>
  <c r="M193" i="1"/>
  <c r="N193" i="1"/>
  <c r="O193" i="1"/>
  <c r="I194" i="1"/>
  <c r="J194" i="1"/>
  <c r="K194" i="1"/>
  <c r="L194" i="1"/>
  <c r="M194" i="1"/>
  <c r="N194" i="1"/>
  <c r="O194" i="1"/>
  <c r="I195" i="1"/>
  <c r="J195" i="1"/>
  <c r="K195" i="1"/>
  <c r="L195" i="1"/>
  <c r="M195" i="1"/>
  <c r="N195" i="1"/>
  <c r="O195" i="1"/>
  <c r="I196" i="1"/>
  <c r="J196" i="1"/>
  <c r="K196" i="1"/>
  <c r="L196" i="1"/>
  <c r="M196" i="1"/>
  <c r="N196" i="1"/>
  <c r="O196" i="1"/>
  <c r="I197" i="1"/>
  <c r="J197" i="1"/>
  <c r="K197" i="1"/>
  <c r="L197" i="1"/>
  <c r="M197" i="1"/>
  <c r="N197" i="1"/>
  <c r="O197" i="1"/>
  <c r="I198" i="1"/>
  <c r="J198" i="1"/>
  <c r="K198" i="1"/>
  <c r="L198" i="1"/>
  <c r="M198" i="1"/>
  <c r="N198" i="1"/>
  <c r="O198" i="1"/>
  <c r="I199" i="1"/>
  <c r="J199" i="1"/>
  <c r="K199" i="1"/>
  <c r="L199" i="1"/>
  <c r="M199" i="1"/>
  <c r="N199" i="1"/>
  <c r="O199" i="1"/>
  <c r="I200" i="1"/>
  <c r="J200" i="1"/>
  <c r="K200" i="1"/>
  <c r="L200" i="1"/>
  <c r="M200" i="1"/>
  <c r="N200" i="1"/>
  <c r="O200" i="1"/>
  <c r="I201" i="1"/>
  <c r="J201" i="1"/>
  <c r="K201" i="1"/>
  <c r="L201" i="1"/>
  <c r="M201" i="1"/>
  <c r="N201" i="1"/>
  <c r="O201" i="1"/>
  <c r="I202" i="1"/>
  <c r="J202" i="1"/>
  <c r="K202" i="1"/>
  <c r="L202" i="1"/>
  <c r="M202" i="1"/>
  <c r="N202" i="1"/>
  <c r="O202" i="1"/>
  <c r="I203" i="1"/>
  <c r="J203" i="1"/>
  <c r="K203" i="1"/>
  <c r="L203" i="1"/>
  <c r="M203" i="1"/>
  <c r="N203" i="1"/>
  <c r="O203" i="1"/>
  <c r="I204" i="1"/>
  <c r="J204" i="1"/>
  <c r="K204" i="1"/>
  <c r="L204" i="1"/>
  <c r="M204" i="1"/>
  <c r="N204" i="1"/>
  <c r="O204" i="1"/>
  <c r="I205" i="1"/>
  <c r="J205" i="1"/>
  <c r="K205" i="1"/>
  <c r="L205" i="1"/>
  <c r="M205" i="1"/>
  <c r="N205" i="1"/>
  <c r="O205" i="1"/>
  <c r="I206" i="1"/>
  <c r="J206" i="1"/>
  <c r="K206" i="1"/>
  <c r="L206" i="1"/>
  <c r="M206" i="1"/>
  <c r="N206" i="1"/>
  <c r="O206" i="1"/>
  <c r="I207" i="1"/>
  <c r="J207" i="1"/>
  <c r="K207" i="1"/>
  <c r="L207" i="1"/>
  <c r="M207" i="1"/>
  <c r="N207" i="1"/>
  <c r="O207" i="1"/>
  <c r="I208" i="1"/>
  <c r="J208" i="1"/>
  <c r="K208" i="1"/>
  <c r="L208" i="1"/>
  <c r="M208" i="1"/>
  <c r="N208" i="1"/>
  <c r="O208" i="1"/>
  <c r="I209" i="1"/>
  <c r="J209" i="1"/>
  <c r="K209" i="1"/>
  <c r="L209" i="1"/>
  <c r="M209" i="1"/>
  <c r="N209" i="1"/>
  <c r="O209" i="1"/>
  <c r="I210" i="1"/>
  <c r="J210" i="1"/>
  <c r="K210" i="1"/>
  <c r="L210" i="1"/>
  <c r="M210" i="1"/>
  <c r="N210" i="1"/>
  <c r="O210" i="1"/>
  <c r="I211" i="1"/>
  <c r="J211" i="1"/>
  <c r="K211" i="1"/>
  <c r="L211" i="1"/>
  <c r="M211" i="1"/>
  <c r="N211" i="1"/>
  <c r="O211" i="1"/>
  <c r="I212" i="1"/>
  <c r="J212" i="1"/>
  <c r="K212" i="1"/>
  <c r="L212" i="1"/>
  <c r="M212" i="1"/>
  <c r="N212" i="1"/>
  <c r="O212" i="1"/>
  <c r="I213" i="1"/>
  <c r="J213" i="1"/>
  <c r="K213" i="1"/>
  <c r="L213" i="1"/>
  <c r="M213" i="1"/>
  <c r="N213" i="1"/>
  <c r="O213" i="1"/>
  <c r="I214" i="1"/>
  <c r="J214" i="1"/>
  <c r="K214" i="1"/>
  <c r="L214" i="1"/>
  <c r="M214" i="1"/>
  <c r="N214" i="1"/>
  <c r="O214" i="1"/>
  <c r="I215" i="1"/>
  <c r="J215" i="1"/>
  <c r="K215" i="1"/>
  <c r="L215" i="1"/>
  <c r="M215" i="1"/>
  <c r="N215" i="1"/>
  <c r="O215" i="1"/>
  <c r="I216" i="1"/>
  <c r="J216" i="1"/>
  <c r="K216" i="1"/>
  <c r="L216" i="1"/>
  <c r="M216" i="1"/>
  <c r="N216" i="1"/>
  <c r="O216" i="1"/>
  <c r="I217" i="1"/>
  <c r="J217" i="1"/>
  <c r="K217" i="1"/>
  <c r="L217" i="1"/>
  <c r="M217" i="1"/>
  <c r="N217" i="1"/>
  <c r="O217" i="1"/>
  <c r="I218" i="1"/>
  <c r="J218" i="1"/>
  <c r="K218" i="1"/>
  <c r="L218" i="1"/>
  <c r="M218" i="1"/>
  <c r="N218" i="1"/>
  <c r="O218" i="1"/>
  <c r="I219" i="1"/>
  <c r="J219" i="1"/>
  <c r="K219" i="1"/>
  <c r="L219" i="1"/>
  <c r="M219" i="1"/>
  <c r="N219" i="1"/>
  <c r="O219" i="1"/>
  <c r="I220" i="1"/>
  <c r="J220" i="1"/>
  <c r="K220" i="1"/>
  <c r="L220" i="1"/>
  <c r="M220" i="1"/>
  <c r="N220" i="1"/>
  <c r="O220" i="1"/>
  <c r="I221" i="1"/>
  <c r="J221" i="1"/>
  <c r="K221" i="1"/>
  <c r="L221" i="1"/>
  <c r="M221" i="1"/>
  <c r="N221" i="1"/>
  <c r="O221" i="1"/>
  <c r="I222" i="1"/>
  <c r="J222" i="1"/>
  <c r="K222" i="1"/>
  <c r="L222" i="1"/>
  <c r="M222" i="1"/>
  <c r="N222" i="1"/>
  <c r="O222" i="1"/>
  <c r="I223" i="1"/>
  <c r="J223" i="1"/>
  <c r="K223" i="1"/>
  <c r="L223" i="1"/>
  <c r="M223" i="1"/>
  <c r="N223" i="1"/>
  <c r="O223" i="1"/>
  <c r="I224" i="1"/>
  <c r="J224" i="1"/>
  <c r="K224" i="1"/>
  <c r="L224" i="1"/>
  <c r="M224" i="1"/>
  <c r="N224" i="1"/>
  <c r="O224" i="1"/>
  <c r="I225" i="1"/>
  <c r="J225" i="1"/>
  <c r="K225" i="1"/>
  <c r="L225" i="1"/>
  <c r="M225" i="1"/>
  <c r="N225" i="1"/>
  <c r="O225" i="1"/>
  <c r="I226" i="1"/>
  <c r="J226" i="1"/>
  <c r="K226" i="1"/>
  <c r="L226" i="1"/>
  <c r="M226" i="1"/>
  <c r="N226" i="1"/>
  <c r="O226" i="1"/>
  <c r="I227" i="1"/>
  <c r="J227" i="1"/>
  <c r="K227" i="1"/>
  <c r="L227" i="1"/>
  <c r="M227" i="1"/>
  <c r="N227" i="1"/>
  <c r="O227" i="1"/>
  <c r="I228" i="1"/>
  <c r="J228" i="1"/>
  <c r="K228" i="1"/>
  <c r="L228" i="1"/>
  <c r="M228" i="1"/>
  <c r="N228" i="1"/>
  <c r="O228" i="1"/>
  <c r="I229" i="1"/>
  <c r="J229" i="1"/>
  <c r="K229" i="1"/>
  <c r="L229" i="1"/>
  <c r="M229" i="1"/>
  <c r="N229" i="1"/>
  <c r="O229" i="1"/>
  <c r="I230" i="1"/>
  <c r="J230" i="1"/>
  <c r="K230" i="1"/>
  <c r="L230" i="1"/>
  <c r="M230" i="1"/>
  <c r="N230" i="1"/>
  <c r="O230" i="1"/>
  <c r="I231" i="1"/>
  <c r="J231" i="1"/>
  <c r="K231" i="1"/>
  <c r="L231" i="1"/>
  <c r="M231" i="1"/>
  <c r="N231" i="1"/>
  <c r="O231" i="1"/>
  <c r="I232" i="1"/>
  <c r="J232" i="1"/>
  <c r="K232" i="1"/>
  <c r="L232" i="1"/>
  <c r="M232" i="1"/>
  <c r="N232" i="1"/>
  <c r="O232" i="1"/>
  <c r="I233" i="1"/>
  <c r="J233" i="1"/>
  <c r="K233" i="1"/>
  <c r="L233" i="1"/>
  <c r="M233" i="1"/>
  <c r="N233" i="1"/>
  <c r="O233" i="1"/>
  <c r="I234" i="1"/>
  <c r="J234" i="1"/>
  <c r="K234" i="1"/>
  <c r="L234" i="1"/>
  <c r="M234" i="1"/>
  <c r="N234" i="1"/>
  <c r="O234" i="1"/>
  <c r="I235" i="1"/>
  <c r="J235" i="1"/>
  <c r="K235" i="1"/>
  <c r="L235" i="1"/>
  <c r="M235" i="1"/>
  <c r="N235" i="1"/>
  <c r="O235" i="1"/>
  <c r="I236" i="1"/>
  <c r="J236" i="1"/>
  <c r="K236" i="1"/>
  <c r="L236" i="1"/>
  <c r="M236" i="1"/>
  <c r="N236" i="1"/>
  <c r="O236" i="1"/>
  <c r="I237" i="1"/>
  <c r="J237" i="1"/>
  <c r="K237" i="1"/>
  <c r="L237" i="1"/>
  <c r="M237" i="1"/>
  <c r="N237" i="1"/>
  <c r="O237" i="1"/>
  <c r="I238" i="1"/>
  <c r="J238" i="1"/>
  <c r="K238" i="1"/>
  <c r="L238" i="1"/>
  <c r="M238" i="1"/>
  <c r="N238" i="1"/>
  <c r="O238" i="1"/>
  <c r="I239" i="1"/>
  <c r="J239" i="1"/>
  <c r="K239" i="1"/>
  <c r="L239" i="1"/>
  <c r="M239" i="1"/>
  <c r="N239" i="1"/>
  <c r="O239" i="1"/>
  <c r="I240" i="1"/>
  <c r="J240" i="1"/>
  <c r="K240" i="1"/>
  <c r="L240" i="1"/>
  <c r="M240" i="1"/>
  <c r="N240" i="1"/>
  <c r="O240" i="1"/>
  <c r="I241" i="1"/>
  <c r="J241" i="1"/>
  <c r="K241" i="1"/>
  <c r="L241" i="1"/>
  <c r="M241" i="1"/>
  <c r="N241" i="1"/>
  <c r="O241" i="1"/>
  <c r="I242" i="1"/>
  <c r="J242" i="1"/>
  <c r="K242" i="1"/>
  <c r="L242" i="1"/>
  <c r="M242" i="1"/>
  <c r="N242" i="1"/>
  <c r="O242" i="1"/>
  <c r="I243" i="1"/>
  <c r="J243" i="1"/>
  <c r="K243" i="1"/>
  <c r="L243" i="1"/>
  <c r="M243" i="1"/>
  <c r="N243" i="1"/>
  <c r="O243" i="1"/>
  <c r="I244" i="1"/>
  <c r="J244" i="1"/>
  <c r="K244" i="1"/>
  <c r="L244" i="1"/>
  <c r="M244" i="1"/>
  <c r="N244" i="1"/>
  <c r="O244" i="1"/>
  <c r="I245" i="1"/>
  <c r="J245" i="1"/>
  <c r="K245" i="1"/>
  <c r="L245" i="1"/>
  <c r="M245" i="1"/>
  <c r="N245" i="1"/>
  <c r="O245" i="1"/>
  <c r="I246" i="1"/>
  <c r="J246" i="1"/>
  <c r="K246" i="1"/>
  <c r="L246" i="1"/>
  <c r="M246" i="1"/>
  <c r="N246" i="1"/>
  <c r="O246" i="1"/>
  <c r="I247" i="1"/>
  <c r="J247" i="1"/>
  <c r="K247" i="1"/>
  <c r="L247" i="1"/>
  <c r="M247" i="1"/>
  <c r="N247" i="1"/>
  <c r="O247" i="1"/>
  <c r="I248" i="1"/>
  <c r="J248" i="1"/>
  <c r="K248" i="1"/>
  <c r="L248" i="1"/>
  <c r="M248" i="1"/>
  <c r="N248" i="1"/>
  <c r="O248" i="1"/>
  <c r="I249" i="1"/>
  <c r="J249" i="1"/>
  <c r="K249" i="1"/>
  <c r="L249" i="1"/>
  <c r="M249" i="1"/>
  <c r="N249" i="1"/>
  <c r="O249" i="1"/>
  <c r="I250" i="1"/>
  <c r="J250" i="1"/>
  <c r="K250" i="1"/>
  <c r="L250" i="1"/>
  <c r="M250" i="1"/>
  <c r="N250" i="1"/>
  <c r="O250" i="1"/>
  <c r="I251" i="1"/>
  <c r="J251" i="1"/>
  <c r="K251" i="1"/>
  <c r="L251" i="1"/>
  <c r="M251" i="1"/>
  <c r="N251" i="1"/>
  <c r="O251" i="1"/>
  <c r="I252" i="1"/>
  <c r="J252" i="1"/>
  <c r="K252" i="1"/>
  <c r="L252" i="1"/>
  <c r="M252" i="1"/>
  <c r="N252" i="1"/>
  <c r="O252" i="1"/>
  <c r="I253" i="1"/>
  <c r="J253" i="1"/>
  <c r="K253" i="1"/>
  <c r="L253" i="1"/>
  <c r="M253" i="1"/>
  <c r="N253" i="1"/>
  <c r="O253" i="1"/>
  <c r="I254" i="1"/>
  <c r="J254" i="1"/>
  <c r="K254" i="1"/>
  <c r="L254" i="1"/>
  <c r="M254" i="1"/>
  <c r="N254" i="1"/>
  <c r="O254" i="1"/>
  <c r="I255" i="1"/>
  <c r="J255" i="1"/>
  <c r="K255" i="1"/>
  <c r="L255" i="1"/>
  <c r="M255" i="1"/>
  <c r="N255" i="1"/>
  <c r="O255" i="1"/>
  <c r="I256" i="1"/>
  <c r="J256" i="1"/>
  <c r="K256" i="1"/>
  <c r="L256" i="1"/>
  <c r="M256" i="1"/>
  <c r="N256" i="1"/>
  <c r="O256" i="1"/>
  <c r="I257" i="1"/>
  <c r="J257" i="1"/>
  <c r="K257" i="1"/>
  <c r="L257" i="1"/>
  <c r="M257" i="1"/>
  <c r="N257" i="1"/>
  <c r="O257" i="1"/>
  <c r="I258" i="1"/>
  <c r="J258" i="1"/>
  <c r="K258" i="1"/>
  <c r="L258" i="1"/>
  <c r="M258" i="1"/>
  <c r="N258" i="1"/>
  <c r="O258" i="1"/>
  <c r="I259" i="1"/>
  <c r="J259" i="1"/>
  <c r="K259" i="1"/>
  <c r="L259" i="1"/>
  <c r="M259" i="1"/>
  <c r="N259" i="1"/>
  <c r="O259" i="1"/>
  <c r="I260" i="1"/>
  <c r="J260" i="1"/>
  <c r="K260" i="1"/>
  <c r="L260" i="1"/>
  <c r="M260" i="1"/>
  <c r="N260" i="1"/>
  <c r="O260" i="1"/>
  <c r="I261" i="1"/>
  <c r="J261" i="1"/>
  <c r="K261" i="1"/>
  <c r="L261" i="1"/>
  <c r="M261" i="1"/>
  <c r="N261" i="1"/>
  <c r="O261" i="1"/>
  <c r="I262" i="1"/>
  <c r="J262" i="1"/>
  <c r="K262" i="1"/>
  <c r="L262" i="1"/>
  <c r="M262" i="1"/>
  <c r="N262" i="1"/>
  <c r="O262" i="1"/>
  <c r="I263" i="1"/>
  <c r="J263" i="1"/>
  <c r="K263" i="1"/>
  <c r="L263" i="1"/>
  <c r="M263" i="1"/>
  <c r="N263" i="1"/>
  <c r="O263" i="1"/>
  <c r="I264" i="1"/>
  <c r="J264" i="1"/>
  <c r="K264" i="1"/>
  <c r="L264" i="1"/>
  <c r="M264" i="1"/>
  <c r="N264" i="1"/>
  <c r="O264" i="1"/>
  <c r="I265" i="1"/>
  <c r="J265" i="1"/>
  <c r="K265" i="1"/>
  <c r="L265" i="1"/>
  <c r="M265" i="1"/>
  <c r="N265" i="1"/>
  <c r="O265" i="1"/>
  <c r="I266" i="1"/>
  <c r="J266" i="1"/>
  <c r="K266" i="1"/>
  <c r="L266" i="1"/>
  <c r="M266" i="1"/>
  <c r="N266" i="1"/>
  <c r="O266" i="1"/>
  <c r="I267" i="1"/>
  <c r="J267" i="1"/>
  <c r="K267" i="1"/>
  <c r="L267" i="1"/>
  <c r="M267" i="1"/>
  <c r="N267" i="1"/>
  <c r="O267" i="1"/>
  <c r="I268" i="1"/>
  <c r="J268" i="1"/>
  <c r="K268" i="1"/>
  <c r="L268" i="1"/>
  <c r="M268" i="1"/>
  <c r="N268" i="1"/>
  <c r="O268" i="1"/>
  <c r="I269" i="1"/>
  <c r="J269" i="1"/>
  <c r="K269" i="1"/>
  <c r="L269" i="1"/>
  <c r="M269" i="1"/>
  <c r="N269" i="1"/>
  <c r="O269" i="1"/>
  <c r="I270" i="1"/>
  <c r="J270" i="1"/>
  <c r="K270" i="1"/>
  <c r="L270" i="1"/>
  <c r="M270" i="1"/>
  <c r="N270" i="1"/>
  <c r="O270" i="1"/>
  <c r="I271" i="1"/>
  <c r="J271" i="1"/>
  <c r="K271" i="1"/>
  <c r="L271" i="1"/>
  <c r="M271" i="1"/>
  <c r="N271" i="1"/>
  <c r="O271" i="1"/>
  <c r="I272" i="1"/>
  <c r="J272" i="1"/>
  <c r="K272" i="1"/>
  <c r="L272" i="1"/>
  <c r="M272" i="1"/>
  <c r="N272" i="1"/>
  <c r="O272" i="1"/>
  <c r="I273" i="1"/>
  <c r="J273" i="1"/>
  <c r="K273" i="1"/>
  <c r="L273" i="1"/>
  <c r="M273" i="1"/>
  <c r="N273" i="1"/>
  <c r="O273" i="1"/>
  <c r="I274" i="1"/>
  <c r="J274" i="1"/>
  <c r="K274" i="1"/>
  <c r="L274" i="1"/>
  <c r="M274" i="1"/>
  <c r="N274" i="1"/>
  <c r="O274" i="1"/>
  <c r="I275" i="1"/>
  <c r="J275" i="1"/>
  <c r="K275" i="1"/>
  <c r="L275" i="1"/>
  <c r="M275" i="1"/>
  <c r="N275" i="1"/>
  <c r="O275" i="1"/>
  <c r="I276" i="1"/>
  <c r="J276" i="1"/>
  <c r="K276" i="1"/>
  <c r="L276" i="1"/>
  <c r="M276" i="1"/>
  <c r="N276" i="1"/>
  <c r="O276" i="1"/>
  <c r="I277" i="1"/>
  <c r="J277" i="1"/>
  <c r="K277" i="1"/>
  <c r="L277" i="1"/>
  <c r="M277" i="1"/>
  <c r="N277" i="1"/>
  <c r="O277" i="1"/>
  <c r="I278" i="1"/>
  <c r="J278" i="1"/>
  <c r="K278" i="1"/>
  <c r="L278" i="1"/>
  <c r="M278" i="1"/>
  <c r="N278" i="1"/>
  <c r="O278" i="1"/>
  <c r="I279" i="1"/>
  <c r="J279" i="1"/>
  <c r="K279" i="1"/>
  <c r="L279" i="1"/>
  <c r="M279" i="1"/>
  <c r="N279" i="1"/>
  <c r="O279" i="1"/>
  <c r="I280" i="1"/>
  <c r="J280" i="1"/>
  <c r="K280" i="1"/>
  <c r="L280" i="1"/>
  <c r="M280" i="1"/>
  <c r="N280" i="1"/>
  <c r="O280" i="1"/>
  <c r="I281" i="1"/>
  <c r="J281" i="1"/>
  <c r="K281" i="1"/>
  <c r="L281" i="1"/>
  <c r="M281" i="1"/>
  <c r="N281" i="1"/>
  <c r="O281" i="1"/>
  <c r="I282" i="1"/>
  <c r="J282" i="1"/>
  <c r="K282" i="1"/>
  <c r="L282" i="1"/>
  <c r="M282" i="1"/>
  <c r="N282" i="1"/>
  <c r="O282" i="1"/>
  <c r="I283" i="1"/>
  <c r="J283" i="1"/>
  <c r="K283" i="1"/>
  <c r="L283" i="1"/>
  <c r="M283" i="1"/>
  <c r="N283" i="1"/>
  <c r="O283" i="1"/>
  <c r="I284" i="1"/>
  <c r="J284" i="1"/>
  <c r="K284" i="1"/>
  <c r="L284" i="1"/>
  <c r="M284" i="1"/>
  <c r="N284" i="1"/>
  <c r="O284" i="1"/>
  <c r="I285" i="1"/>
  <c r="J285" i="1"/>
  <c r="K285" i="1"/>
  <c r="L285" i="1"/>
  <c r="M285" i="1"/>
  <c r="N285" i="1"/>
  <c r="O285" i="1"/>
  <c r="I286" i="1"/>
  <c r="J286" i="1"/>
  <c r="K286" i="1"/>
  <c r="L286" i="1"/>
  <c r="M286" i="1"/>
  <c r="N286" i="1"/>
  <c r="O286" i="1"/>
  <c r="I287" i="1"/>
  <c r="J287" i="1"/>
  <c r="K287" i="1"/>
  <c r="L287" i="1"/>
  <c r="M287" i="1"/>
  <c r="N287" i="1"/>
  <c r="O287" i="1"/>
  <c r="I288" i="1"/>
  <c r="J288" i="1"/>
  <c r="K288" i="1"/>
  <c r="L288" i="1"/>
  <c r="M288" i="1"/>
  <c r="N288" i="1"/>
  <c r="O288" i="1"/>
  <c r="I289" i="1"/>
  <c r="J289" i="1"/>
  <c r="K289" i="1"/>
  <c r="L289" i="1"/>
  <c r="M289" i="1"/>
  <c r="N289" i="1"/>
  <c r="O289" i="1"/>
  <c r="I290" i="1"/>
  <c r="J290" i="1"/>
  <c r="K290" i="1"/>
  <c r="L290" i="1"/>
  <c r="M290" i="1"/>
  <c r="N290" i="1"/>
  <c r="O290" i="1"/>
  <c r="I291" i="1"/>
  <c r="J291" i="1"/>
  <c r="K291" i="1"/>
  <c r="L291" i="1"/>
  <c r="M291" i="1"/>
  <c r="N291" i="1"/>
  <c r="O291" i="1"/>
  <c r="I292" i="1"/>
  <c r="J292" i="1"/>
  <c r="K292" i="1"/>
  <c r="L292" i="1"/>
  <c r="M292" i="1"/>
  <c r="N292" i="1"/>
  <c r="O292" i="1"/>
  <c r="I293" i="1"/>
  <c r="J293" i="1"/>
  <c r="K293" i="1"/>
  <c r="L293" i="1"/>
  <c r="M293" i="1"/>
  <c r="N293" i="1"/>
  <c r="O293" i="1"/>
  <c r="I294" i="1"/>
  <c r="J294" i="1"/>
  <c r="K294" i="1"/>
  <c r="L294" i="1"/>
  <c r="M294" i="1"/>
  <c r="N294" i="1"/>
  <c r="O294" i="1"/>
  <c r="I295" i="1"/>
  <c r="J295" i="1"/>
  <c r="K295" i="1"/>
  <c r="L295" i="1"/>
  <c r="M295" i="1"/>
  <c r="N295" i="1"/>
  <c r="O295" i="1"/>
  <c r="I296" i="1"/>
  <c r="J296" i="1"/>
  <c r="K296" i="1"/>
  <c r="L296" i="1"/>
  <c r="M296" i="1"/>
  <c r="N296" i="1"/>
  <c r="O296" i="1"/>
  <c r="I297" i="1"/>
  <c r="J297" i="1"/>
  <c r="K297" i="1"/>
  <c r="L297" i="1"/>
  <c r="M297" i="1"/>
  <c r="N297" i="1"/>
  <c r="O297" i="1"/>
  <c r="I298" i="1"/>
  <c r="J298" i="1"/>
  <c r="K298" i="1"/>
  <c r="L298" i="1"/>
  <c r="M298" i="1"/>
  <c r="N298" i="1"/>
  <c r="O298" i="1"/>
  <c r="I299" i="1"/>
  <c r="J299" i="1"/>
  <c r="K299" i="1"/>
  <c r="L299" i="1"/>
  <c r="M299" i="1"/>
  <c r="N299" i="1"/>
  <c r="O299" i="1"/>
  <c r="I300" i="1"/>
  <c r="J300" i="1"/>
  <c r="K300" i="1"/>
  <c r="L300" i="1"/>
  <c r="M300" i="1"/>
  <c r="N300" i="1"/>
  <c r="O300" i="1"/>
  <c r="I301" i="1"/>
  <c r="J301" i="1"/>
  <c r="K301" i="1"/>
  <c r="L301" i="1"/>
  <c r="M301" i="1"/>
  <c r="N301" i="1"/>
  <c r="O301" i="1"/>
  <c r="I302" i="1"/>
  <c r="J302" i="1"/>
  <c r="K302" i="1"/>
  <c r="L302" i="1"/>
  <c r="M302" i="1"/>
  <c r="N302" i="1"/>
  <c r="O302" i="1"/>
  <c r="I303" i="1"/>
  <c r="J303" i="1"/>
  <c r="K303" i="1"/>
  <c r="L303" i="1"/>
  <c r="M303" i="1"/>
  <c r="N303" i="1"/>
  <c r="O303" i="1"/>
  <c r="I304" i="1"/>
  <c r="J304" i="1"/>
  <c r="K304" i="1"/>
  <c r="L304" i="1"/>
  <c r="M304" i="1"/>
  <c r="N304" i="1"/>
  <c r="O304" i="1"/>
  <c r="I305" i="1"/>
  <c r="J305" i="1"/>
  <c r="K305" i="1"/>
  <c r="L305" i="1"/>
  <c r="M305" i="1"/>
  <c r="N305" i="1"/>
  <c r="O305" i="1"/>
  <c r="I306" i="1"/>
  <c r="J306" i="1"/>
  <c r="K306" i="1"/>
  <c r="L306" i="1"/>
  <c r="M306" i="1"/>
  <c r="N306" i="1"/>
  <c r="O306" i="1"/>
  <c r="I307" i="1"/>
  <c r="J307" i="1"/>
  <c r="K307" i="1"/>
  <c r="L307" i="1"/>
  <c r="M307" i="1"/>
  <c r="N307" i="1"/>
  <c r="O307" i="1"/>
  <c r="I308" i="1"/>
  <c r="J308" i="1"/>
  <c r="K308" i="1"/>
  <c r="L308" i="1"/>
  <c r="M308" i="1"/>
  <c r="N308" i="1"/>
  <c r="O308" i="1"/>
  <c r="I309" i="1"/>
  <c r="J309" i="1"/>
  <c r="K309" i="1"/>
  <c r="L309" i="1"/>
  <c r="M309" i="1"/>
  <c r="N309" i="1"/>
  <c r="O309" i="1"/>
  <c r="I310" i="1"/>
  <c r="J310" i="1"/>
  <c r="K310" i="1"/>
  <c r="L310" i="1"/>
  <c r="M310" i="1"/>
  <c r="N310" i="1"/>
  <c r="O310" i="1"/>
  <c r="I311" i="1"/>
  <c r="J311" i="1"/>
  <c r="K311" i="1"/>
  <c r="L311" i="1"/>
  <c r="M311" i="1"/>
  <c r="N311" i="1"/>
  <c r="O311" i="1"/>
  <c r="I312" i="1"/>
  <c r="J312" i="1"/>
  <c r="K312" i="1"/>
  <c r="L312" i="1"/>
  <c r="M312" i="1"/>
  <c r="N312" i="1"/>
  <c r="O312" i="1"/>
  <c r="I313" i="1"/>
  <c r="J313" i="1"/>
  <c r="K313" i="1"/>
  <c r="L313" i="1"/>
  <c r="M313" i="1"/>
  <c r="N313" i="1"/>
  <c r="O313" i="1"/>
  <c r="I314" i="1"/>
  <c r="J314" i="1"/>
  <c r="K314" i="1"/>
  <c r="L314" i="1"/>
  <c r="M314" i="1"/>
  <c r="N314" i="1"/>
  <c r="O314" i="1"/>
  <c r="I315" i="1"/>
  <c r="J315" i="1"/>
  <c r="K315" i="1"/>
  <c r="L315" i="1"/>
  <c r="M315" i="1"/>
  <c r="N315" i="1"/>
  <c r="O315" i="1"/>
  <c r="I316" i="1"/>
  <c r="J316" i="1"/>
  <c r="K316" i="1"/>
  <c r="L316" i="1"/>
  <c r="M316" i="1"/>
  <c r="N316" i="1"/>
  <c r="O316" i="1"/>
  <c r="I317" i="1"/>
  <c r="J317" i="1"/>
  <c r="K317" i="1"/>
  <c r="L317" i="1"/>
  <c r="M317" i="1"/>
  <c r="N317" i="1"/>
  <c r="O317" i="1"/>
  <c r="I318" i="1"/>
  <c r="J318" i="1"/>
  <c r="K318" i="1"/>
  <c r="L318" i="1"/>
  <c r="M318" i="1"/>
  <c r="N318" i="1"/>
  <c r="O318" i="1"/>
  <c r="I319" i="1"/>
  <c r="J319" i="1"/>
  <c r="K319" i="1"/>
  <c r="L319" i="1"/>
  <c r="M319" i="1"/>
  <c r="N319" i="1"/>
  <c r="O319" i="1"/>
  <c r="I320" i="1"/>
  <c r="J320" i="1"/>
  <c r="K320" i="1"/>
  <c r="L320" i="1"/>
  <c r="M320" i="1"/>
  <c r="N320" i="1"/>
  <c r="O320" i="1"/>
  <c r="I321" i="1"/>
  <c r="J321" i="1"/>
  <c r="K321" i="1"/>
  <c r="L321" i="1"/>
  <c r="M321" i="1"/>
  <c r="N321" i="1"/>
  <c r="O321" i="1"/>
  <c r="I322" i="1"/>
  <c r="J322" i="1"/>
  <c r="K322" i="1"/>
  <c r="L322" i="1"/>
  <c r="M322" i="1"/>
  <c r="N322" i="1"/>
  <c r="O322" i="1"/>
  <c r="I323" i="1"/>
  <c r="J323" i="1"/>
  <c r="K323" i="1"/>
  <c r="L323" i="1"/>
  <c r="M323" i="1"/>
  <c r="N323" i="1"/>
  <c r="O323" i="1"/>
  <c r="I324" i="1"/>
  <c r="J324" i="1"/>
  <c r="K324" i="1"/>
  <c r="L324" i="1"/>
  <c r="M324" i="1"/>
  <c r="N324" i="1"/>
  <c r="O324" i="1"/>
  <c r="I325" i="1"/>
  <c r="J325" i="1"/>
  <c r="K325" i="1"/>
  <c r="L325" i="1"/>
  <c r="M325" i="1"/>
  <c r="N325" i="1"/>
  <c r="O325" i="1"/>
  <c r="I326" i="1"/>
  <c r="J326" i="1"/>
  <c r="K326" i="1"/>
  <c r="L326" i="1"/>
  <c r="M326" i="1"/>
  <c r="N326" i="1"/>
  <c r="O326" i="1"/>
  <c r="I327" i="1"/>
  <c r="J327" i="1"/>
  <c r="K327" i="1"/>
  <c r="L327" i="1"/>
  <c r="M327" i="1"/>
  <c r="N327" i="1"/>
  <c r="O327" i="1"/>
  <c r="I328" i="1"/>
  <c r="J328" i="1"/>
  <c r="K328" i="1"/>
  <c r="L328" i="1"/>
  <c r="M328" i="1"/>
  <c r="N328" i="1"/>
  <c r="O328" i="1"/>
  <c r="I329" i="1"/>
  <c r="J329" i="1"/>
  <c r="K329" i="1"/>
  <c r="L329" i="1"/>
  <c r="M329" i="1"/>
  <c r="N329" i="1"/>
  <c r="O329" i="1"/>
  <c r="I330" i="1"/>
  <c r="J330" i="1"/>
  <c r="K330" i="1"/>
  <c r="L330" i="1"/>
  <c r="M330" i="1"/>
  <c r="N330" i="1"/>
  <c r="O330" i="1"/>
  <c r="I331" i="1"/>
  <c r="J331" i="1"/>
  <c r="K331" i="1"/>
  <c r="L331" i="1"/>
  <c r="M331" i="1"/>
  <c r="N331" i="1"/>
  <c r="O331" i="1"/>
  <c r="I332" i="1"/>
  <c r="J332" i="1"/>
  <c r="K332" i="1"/>
  <c r="L332" i="1"/>
  <c r="M332" i="1"/>
  <c r="N332" i="1"/>
  <c r="O332" i="1"/>
  <c r="I333" i="1"/>
  <c r="J333" i="1"/>
  <c r="K333" i="1"/>
  <c r="L333" i="1"/>
  <c r="M333" i="1"/>
  <c r="N333" i="1"/>
  <c r="O333" i="1"/>
  <c r="I334" i="1"/>
  <c r="J334" i="1"/>
  <c r="K334" i="1"/>
  <c r="L334" i="1"/>
  <c r="M334" i="1"/>
  <c r="N334" i="1"/>
  <c r="O334" i="1"/>
  <c r="I335" i="1"/>
  <c r="J335" i="1"/>
  <c r="K335" i="1"/>
  <c r="L335" i="1"/>
  <c r="M335" i="1"/>
  <c r="N335" i="1"/>
  <c r="O335" i="1"/>
  <c r="I336" i="1"/>
  <c r="J336" i="1"/>
  <c r="K336" i="1"/>
  <c r="L336" i="1"/>
  <c r="M336" i="1"/>
  <c r="N336" i="1"/>
  <c r="O336" i="1"/>
  <c r="I337" i="1"/>
  <c r="J337" i="1"/>
  <c r="K337" i="1"/>
  <c r="L337" i="1"/>
  <c r="M337" i="1"/>
  <c r="N337" i="1"/>
  <c r="O337" i="1"/>
  <c r="I338" i="1"/>
  <c r="J338" i="1"/>
  <c r="K338" i="1"/>
  <c r="L338" i="1"/>
  <c r="M338" i="1"/>
  <c r="N338" i="1"/>
  <c r="O338" i="1"/>
  <c r="I339" i="1"/>
  <c r="J339" i="1"/>
  <c r="K339" i="1"/>
  <c r="L339" i="1"/>
  <c r="M339" i="1"/>
  <c r="N339" i="1"/>
  <c r="O339" i="1"/>
  <c r="I340" i="1"/>
  <c r="J340" i="1"/>
  <c r="K340" i="1"/>
  <c r="L340" i="1"/>
  <c r="M340" i="1"/>
  <c r="N340" i="1"/>
  <c r="O340" i="1"/>
  <c r="I341" i="1"/>
  <c r="J341" i="1"/>
  <c r="K341" i="1"/>
  <c r="L341" i="1"/>
  <c r="M341" i="1"/>
  <c r="N341" i="1"/>
  <c r="O341" i="1"/>
  <c r="I342" i="1"/>
  <c r="J342" i="1"/>
  <c r="K342" i="1"/>
  <c r="L342" i="1"/>
  <c r="M342" i="1"/>
  <c r="N342" i="1"/>
  <c r="O342" i="1"/>
  <c r="I343" i="1"/>
  <c r="J343" i="1"/>
  <c r="K343" i="1"/>
  <c r="L343" i="1"/>
  <c r="M343" i="1"/>
  <c r="N343" i="1"/>
  <c r="O343" i="1"/>
  <c r="I344" i="1"/>
  <c r="J344" i="1"/>
  <c r="K344" i="1"/>
  <c r="L344" i="1"/>
  <c r="M344" i="1"/>
  <c r="N344" i="1"/>
  <c r="O344" i="1"/>
  <c r="I345" i="1"/>
  <c r="J345" i="1"/>
  <c r="K345" i="1"/>
  <c r="L345" i="1"/>
  <c r="M345" i="1"/>
  <c r="N345" i="1"/>
  <c r="O345" i="1"/>
  <c r="I346" i="1"/>
  <c r="J346" i="1"/>
  <c r="K346" i="1"/>
  <c r="L346" i="1"/>
  <c r="M346" i="1"/>
  <c r="N346" i="1"/>
  <c r="O346" i="1"/>
  <c r="I347" i="1"/>
  <c r="J347" i="1"/>
  <c r="K347" i="1"/>
  <c r="L347" i="1"/>
  <c r="M347" i="1"/>
  <c r="N347" i="1"/>
  <c r="O347" i="1"/>
  <c r="I348" i="1"/>
  <c r="J348" i="1"/>
  <c r="K348" i="1"/>
  <c r="L348" i="1"/>
  <c r="M348" i="1"/>
  <c r="N348" i="1"/>
  <c r="O348" i="1"/>
  <c r="I349" i="1"/>
  <c r="J349" i="1"/>
  <c r="K349" i="1"/>
  <c r="L349" i="1"/>
  <c r="M349" i="1"/>
  <c r="N349" i="1"/>
  <c r="O349" i="1"/>
  <c r="I350" i="1"/>
  <c r="J350" i="1"/>
  <c r="K350" i="1"/>
  <c r="L350" i="1"/>
  <c r="M350" i="1"/>
  <c r="N350" i="1"/>
  <c r="O350" i="1"/>
  <c r="I351" i="1"/>
  <c r="J351" i="1"/>
  <c r="K351" i="1"/>
  <c r="L351" i="1"/>
  <c r="M351" i="1"/>
  <c r="N351" i="1"/>
  <c r="O351" i="1"/>
  <c r="I352" i="1"/>
  <c r="J352" i="1"/>
  <c r="K352" i="1"/>
  <c r="L352" i="1"/>
  <c r="M352" i="1"/>
  <c r="N352" i="1"/>
  <c r="O352" i="1"/>
  <c r="I353" i="1"/>
  <c r="J353" i="1"/>
  <c r="K353" i="1"/>
  <c r="L353" i="1"/>
  <c r="M353" i="1"/>
  <c r="N353" i="1"/>
  <c r="O353" i="1"/>
  <c r="I354" i="1"/>
  <c r="J354" i="1"/>
  <c r="K354" i="1"/>
  <c r="L354" i="1"/>
  <c r="M354" i="1"/>
  <c r="N354" i="1"/>
  <c r="O354" i="1"/>
  <c r="I355" i="1"/>
  <c r="J355" i="1"/>
  <c r="K355" i="1"/>
  <c r="L355" i="1"/>
  <c r="M355" i="1"/>
  <c r="N355" i="1"/>
  <c r="O355" i="1"/>
  <c r="I356" i="1"/>
  <c r="J356" i="1"/>
  <c r="K356" i="1"/>
  <c r="L356" i="1"/>
  <c r="M356" i="1"/>
  <c r="N356" i="1"/>
  <c r="O356" i="1"/>
  <c r="I357" i="1"/>
  <c r="J357" i="1"/>
  <c r="K357" i="1"/>
  <c r="L357" i="1"/>
  <c r="M357" i="1"/>
  <c r="N357" i="1"/>
  <c r="O357" i="1"/>
  <c r="I358" i="1"/>
  <c r="J358" i="1"/>
  <c r="K358" i="1"/>
  <c r="L358" i="1"/>
  <c r="M358" i="1"/>
  <c r="N358" i="1"/>
  <c r="O358" i="1"/>
  <c r="I359" i="1"/>
  <c r="J359" i="1"/>
  <c r="K359" i="1"/>
  <c r="L359" i="1"/>
  <c r="M359" i="1"/>
  <c r="N359" i="1"/>
  <c r="O359" i="1"/>
  <c r="I360" i="1"/>
  <c r="J360" i="1"/>
  <c r="K360" i="1"/>
  <c r="L360" i="1"/>
  <c r="M360" i="1"/>
  <c r="N360" i="1"/>
  <c r="O360" i="1"/>
  <c r="I361" i="1"/>
  <c r="J361" i="1"/>
  <c r="K361" i="1"/>
  <c r="L361" i="1"/>
  <c r="M361" i="1"/>
  <c r="N361" i="1"/>
  <c r="O361" i="1"/>
  <c r="I362" i="1"/>
  <c r="J362" i="1"/>
  <c r="K362" i="1"/>
  <c r="L362" i="1"/>
  <c r="M362" i="1"/>
  <c r="N362" i="1"/>
  <c r="O362" i="1"/>
  <c r="I363" i="1"/>
  <c r="J363" i="1"/>
  <c r="K363" i="1"/>
  <c r="L363" i="1"/>
  <c r="M363" i="1"/>
  <c r="N363" i="1"/>
  <c r="O363" i="1"/>
  <c r="I364" i="1"/>
  <c r="J364" i="1"/>
  <c r="K364" i="1"/>
  <c r="L364" i="1"/>
  <c r="M364" i="1"/>
  <c r="N364" i="1"/>
  <c r="O364" i="1"/>
  <c r="I365" i="1"/>
  <c r="J365" i="1"/>
  <c r="K365" i="1"/>
  <c r="L365" i="1"/>
  <c r="M365" i="1"/>
  <c r="N365" i="1"/>
  <c r="O365" i="1"/>
  <c r="I366" i="1"/>
  <c r="J366" i="1"/>
  <c r="K366" i="1"/>
  <c r="L366" i="1"/>
  <c r="M366" i="1"/>
  <c r="N366" i="1"/>
  <c r="O366" i="1"/>
  <c r="I367" i="1"/>
  <c r="J367" i="1"/>
  <c r="K367" i="1"/>
  <c r="L367" i="1"/>
  <c r="M367" i="1"/>
  <c r="N367" i="1"/>
  <c r="O367" i="1"/>
  <c r="I368" i="1"/>
  <c r="J368" i="1"/>
  <c r="K368" i="1"/>
  <c r="L368" i="1"/>
  <c r="M368" i="1"/>
  <c r="N368" i="1"/>
  <c r="O368" i="1"/>
  <c r="I369" i="1"/>
  <c r="J369" i="1"/>
  <c r="K369" i="1"/>
  <c r="L369" i="1"/>
  <c r="M369" i="1"/>
  <c r="N369" i="1"/>
  <c r="O369" i="1"/>
  <c r="I370" i="1"/>
  <c r="J370" i="1"/>
  <c r="K370" i="1"/>
  <c r="L370" i="1"/>
  <c r="M370" i="1"/>
  <c r="N370" i="1"/>
  <c r="O370" i="1"/>
  <c r="I371" i="1"/>
  <c r="J371" i="1"/>
  <c r="K371" i="1"/>
  <c r="L371" i="1"/>
  <c r="M371" i="1"/>
  <c r="N371" i="1"/>
  <c r="O371" i="1"/>
  <c r="I372" i="1"/>
  <c r="J372" i="1"/>
  <c r="K372" i="1"/>
  <c r="L372" i="1"/>
  <c r="M372" i="1"/>
  <c r="N372" i="1"/>
  <c r="O372" i="1"/>
  <c r="I373" i="1"/>
  <c r="J373" i="1"/>
  <c r="K373" i="1"/>
  <c r="L373" i="1"/>
  <c r="M373" i="1"/>
  <c r="N373" i="1"/>
  <c r="O373" i="1"/>
  <c r="I374" i="1"/>
  <c r="J374" i="1"/>
  <c r="K374" i="1"/>
  <c r="L374" i="1"/>
  <c r="M374" i="1"/>
  <c r="N374" i="1"/>
  <c r="O374" i="1"/>
  <c r="I375" i="1"/>
  <c r="J375" i="1"/>
  <c r="K375" i="1"/>
  <c r="L375" i="1"/>
  <c r="M375" i="1"/>
  <c r="N375" i="1"/>
  <c r="O375" i="1"/>
  <c r="I376" i="1"/>
  <c r="J376" i="1"/>
  <c r="K376" i="1"/>
  <c r="L376" i="1"/>
  <c r="M376" i="1"/>
  <c r="N376" i="1"/>
  <c r="O376" i="1"/>
  <c r="I377" i="1"/>
  <c r="J377" i="1"/>
  <c r="K377" i="1"/>
  <c r="L377" i="1"/>
  <c r="M377" i="1"/>
  <c r="N377" i="1"/>
  <c r="O377" i="1"/>
  <c r="I378" i="1"/>
  <c r="J378" i="1"/>
  <c r="K378" i="1"/>
  <c r="L378" i="1"/>
  <c r="M378" i="1"/>
  <c r="N378" i="1"/>
  <c r="O378" i="1"/>
  <c r="I379" i="1"/>
  <c r="J379" i="1"/>
  <c r="K379" i="1"/>
  <c r="L379" i="1"/>
  <c r="M379" i="1"/>
  <c r="N379" i="1"/>
  <c r="O379" i="1"/>
  <c r="I380" i="1"/>
  <c r="J380" i="1"/>
  <c r="K380" i="1"/>
  <c r="L380" i="1"/>
  <c r="M380" i="1"/>
  <c r="N380" i="1"/>
  <c r="O380" i="1"/>
  <c r="I381" i="1"/>
  <c r="J381" i="1"/>
  <c r="K381" i="1"/>
  <c r="L381" i="1"/>
  <c r="M381" i="1"/>
  <c r="N381" i="1"/>
  <c r="O381" i="1"/>
  <c r="I382" i="1"/>
  <c r="J382" i="1"/>
  <c r="K382" i="1"/>
  <c r="L382" i="1"/>
  <c r="M382" i="1"/>
  <c r="N382" i="1"/>
  <c r="O382" i="1"/>
  <c r="I383" i="1"/>
  <c r="J383" i="1"/>
  <c r="K383" i="1"/>
  <c r="L383" i="1"/>
  <c r="M383" i="1"/>
  <c r="N383" i="1"/>
  <c r="O383" i="1"/>
  <c r="I384" i="1"/>
  <c r="J384" i="1"/>
  <c r="K384" i="1"/>
  <c r="L384" i="1"/>
  <c r="M384" i="1"/>
  <c r="N384" i="1"/>
  <c r="O384" i="1"/>
  <c r="I385" i="1"/>
  <c r="J385" i="1"/>
  <c r="K385" i="1"/>
  <c r="L385" i="1"/>
  <c r="M385" i="1"/>
  <c r="N385" i="1"/>
  <c r="O385" i="1"/>
  <c r="I386" i="1"/>
  <c r="J386" i="1"/>
  <c r="K386" i="1"/>
  <c r="L386" i="1"/>
  <c r="M386" i="1"/>
  <c r="N386" i="1"/>
  <c r="O386" i="1"/>
  <c r="I387" i="1"/>
  <c r="J387" i="1"/>
  <c r="K387" i="1"/>
  <c r="L387" i="1"/>
  <c r="M387" i="1"/>
  <c r="N387" i="1"/>
  <c r="O387" i="1"/>
  <c r="I388" i="1"/>
  <c r="J388" i="1"/>
  <c r="K388" i="1"/>
  <c r="L388" i="1"/>
  <c r="M388" i="1"/>
  <c r="N388" i="1"/>
  <c r="O388" i="1"/>
  <c r="I389" i="1"/>
  <c r="J389" i="1"/>
  <c r="K389" i="1"/>
  <c r="L389" i="1"/>
  <c r="M389" i="1"/>
  <c r="N389" i="1"/>
  <c r="O389" i="1"/>
  <c r="I390" i="1"/>
  <c r="J390" i="1"/>
  <c r="K390" i="1"/>
  <c r="L390" i="1"/>
  <c r="M390" i="1"/>
  <c r="N390" i="1"/>
  <c r="O390" i="1"/>
  <c r="I391" i="1"/>
  <c r="J391" i="1"/>
  <c r="K391" i="1"/>
  <c r="L391" i="1"/>
  <c r="M391" i="1"/>
  <c r="N391" i="1"/>
  <c r="O391" i="1"/>
  <c r="I392" i="1"/>
  <c r="J392" i="1"/>
  <c r="K392" i="1"/>
  <c r="L392" i="1"/>
  <c r="M392" i="1"/>
  <c r="N392" i="1"/>
  <c r="O392" i="1"/>
  <c r="I393" i="1"/>
  <c r="J393" i="1"/>
  <c r="K393" i="1"/>
  <c r="L393" i="1"/>
  <c r="M393" i="1"/>
  <c r="N393" i="1"/>
  <c r="O393" i="1"/>
  <c r="I394" i="1"/>
  <c r="J394" i="1"/>
  <c r="K394" i="1"/>
  <c r="L394" i="1"/>
  <c r="M394" i="1"/>
  <c r="N394" i="1"/>
  <c r="O394" i="1"/>
  <c r="I395" i="1"/>
  <c r="J395" i="1"/>
  <c r="K395" i="1"/>
  <c r="L395" i="1"/>
  <c r="M395" i="1"/>
  <c r="N395" i="1"/>
  <c r="O395" i="1"/>
  <c r="I396" i="1"/>
  <c r="J396" i="1"/>
  <c r="K396" i="1"/>
  <c r="L396" i="1"/>
  <c r="M396" i="1"/>
  <c r="N396" i="1"/>
  <c r="O396" i="1"/>
  <c r="I397" i="1"/>
  <c r="J397" i="1"/>
  <c r="K397" i="1"/>
  <c r="L397" i="1"/>
  <c r="M397" i="1"/>
  <c r="N397" i="1"/>
  <c r="O397" i="1"/>
  <c r="I398" i="1"/>
  <c r="J398" i="1"/>
  <c r="K398" i="1"/>
  <c r="L398" i="1"/>
  <c r="M398" i="1"/>
  <c r="N398" i="1"/>
  <c r="O398" i="1"/>
  <c r="I399" i="1"/>
  <c r="J399" i="1"/>
  <c r="K399" i="1"/>
  <c r="L399" i="1"/>
  <c r="M399" i="1"/>
  <c r="N399" i="1"/>
  <c r="O399" i="1"/>
  <c r="I400" i="1"/>
  <c r="J400" i="1"/>
  <c r="K400" i="1"/>
  <c r="L400" i="1"/>
  <c r="M400" i="1"/>
  <c r="N400" i="1"/>
  <c r="O400" i="1"/>
  <c r="I401" i="1"/>
  <c r="J401" i="1"/>
  <c r="K401" i="1"/>
  <c r="L401" i="1"/>
  <c r="M401" i="1"/>
  <c r="N401" i="1"/>
  <c r="O401" i="1"/>
  <c r="I402" i="1"/>
  <c r="J402" i="1"/>
  <c r="K402" i="1"/>
  <c r="L402" i="1"/>
  <c r="M402" i="1"/>
  <c r="N402" i="1"/>
  <c r="O402" i="1"/>
  <c r="I403" i="1"/>
  <c r="J403" i="1"/>
  <c r="K403" i="1"/>
  <c r="L403" i="1"/>
  <c r="M403" i="1"/>
  <c r="N403" i="1"/>
  <c r="O403" i="1"/>
  <c r="I404" i="1"/>
  <c r="J404" i="1"/>
  <c r="K404" i="1"/>
  <c r="L404" i="1"/>
  <c r="M404" i="1"/>
  <c r="N404" i="1"/>
  <c r="O404" i="1"/>
  <c r="I405" i="1"/>
  <c r="J405" i="1"/>
  <c r="K405" i="1"/>
  <c r="L405" i="1"/>
  <c r="M405" i="1"/>
  <c r="N405" i="1"/>
  <c r="O405" i="1"/>
  <c r="I406" i="1"/>
  <c r="J406" i="1"/>
  <c r="K406" i="1"/>
  <c r="L406" i="1"/>
  <c r="M406" i="1"/>
  <c r="N406" i="1"/>
  <c r="O406" i="1"/>
  <c r="I407" i="1"/>
  <c r="J407" i="1"/>
  <c r="K407" i="1"/>
  <c r="L407" i="1"/>
  <c r="M407" i="1"/>
  <c r="N407" i="1"/>
  <c r="O407" i="1"/>
  <c r="I408" i="1"/>
  <c r="J408" i="1"/>
  <c r="K408" i="1"/>
  <c r="L408" i="1"/>
  <c r="M408" i="1"/>
  <c r="N408" i="1"/>
  <c r="O408" i="1"/>
  <c r="I409" i="1"/>
  <c r="J409" i="1"/>
  <c r="K409" i="1"/>
  <c r="L409" i="1"/>
  <c r="M409" i="1"/>
  <c r="N409" i="1"/>
  <c r="O409" i="1"/>
  <c r="I410" i="1"/>
  <c r="J410" i="1"/>
  <c r="K410" i="1"/>
  <c r="L410" i="1"/>
  <c r="M410" i="1"/>
  <c r="N410" i="1"/>
  <c r="O410" i="1"/>
  <c r="I411" i="1"/>
  <c r="J411" i="1"/>
  <c r="K411" i="1"/>
  <c r="L411" i="1"/>
  <c r="M411" i="1"/>
  <c r="N411" i="1"/>
  <c r="O411" i="1"/>
  <c r="I412" i="1"/>
  <c r="J412" i="1"/>
  <c r="K412" i="1"/>
  <c r="L412" i="1"/>
  <c r="M412" i="1"/>
  <c r="N412" i="1"/>
  <c r="O412" i="1"/>
  <c r="I413" i="1"/>
  <c r="J413" i="1"/>
  <c r="K413" i="1"/>
  <c r="L413" i="1"/>
  <c r="M413" i="1"/>
  <c r="N413" i="1"/>
  <c r="O413" i="1"/>
  <c r="I414" i="1"/>
  <c r="J414" i="1"/>
  <c r="K414" i="1"/>
  <c r="L414" i="1"/>
  <c r="M414" i="1"/>
  <c r="N414" i="1"/>
  <c r="O414" i="1"/>
  <c r="I415" i="1"/>
  <c r="J415" i="1"/>
  <c r="K415" i="1"/>
  <c r="L415" i="1"/>
  <c r="M415" i="1"/>
  <c r="N415" i="1"/>
  <c r="O415" i="1"/>
  <c r="I416" i="1"/>
  <c r="J416" i="1"/>
  <c r="K416" i="1"/>
  <c r="L416" i="1"/>
  <c r="M416" i="1"/>
  <c r="N416" i="1"/>
  <c r="O416" i="1"/>
  <c r="I417" i="1"/>
  <c r="J417" i="1"/>
  <c r="K417" i="1"/>
  <c r="L417" i="1"/>
  <c r="M417" i="1"/>
  <c r="N417" i="1"/>
  <c r="O417" i="1"/>
  <c r="I418" i="1"/>
  <c r="J418" i="1"/>
  <c r="K418" i="1"/>
  <c r="L418" i="1"/>
  <c r="M418" i="1"/>
  <c r="N418" i="1"/>
  <c r="O418" i="1"/>
  <c r="I419" i="1"/>
  <c r="J419" i="1"/>
  <c r="K419" i="1"/>
  <c r="L419" i="1"/>
  <c r="M419" i="1"/>
  <c r="N419" i="1"/>
  <c r="O419" i="1"/>
  <c r="I420" i="1"/>
  <c r="J420" i="1"/>
  <c r="K420" i="1"/>
  <c r="L420" i="1"/>
  <c r="M420" i="1"/>
  <c r="N420" i="1"/>
  <c r="O420" i="1"/>
  <c r="I421" i="1"/>
  <c r="J421" i="1"/>
  <c r="K421" i="1"/>
  <c r="L421" i="1"/>
  <c r="M421" i="1"/>
  <c r="N421" i="1"/>
  <c r="O421" i="1"/>
  <c r="I422" i="1"/>
  <c r="J422" i="1"/>
  <c r="K422" i="1"/>
  <c r="L422" i="1"/>
  <c r="M422" i="1"/>
  <c r="N422" i="1"/>
  <c r="O422" i="1"/>
  <c r="I423" i="1"/>
  <c r="J423" i="1"/>
  <c r="K423" i="1"/>
  <c r="L423" i="1"/>
  <c r="M423" i="1"/>
  <c r="N423" i="1"/>
  <c r="O423" i="1"/>
  <c r="I424" i="1"/>
  <c r="J424" i="1"/>
  <c r="K424" i="1"/>
  <c r="L424" i="1"/>
  <c r="M424" i="1"/>
  <c r="N424" i="1"/>
  <c r="O424" i="1"/>
  <c r="I425" i="1"/>
  <c r="J425" i="1"/>
  <c r="K425" i="1"/>
  <c r="L425" i="1"/>
  <c r="M425" i="1"/>
  <c r="N425" i="1"/>
  <c r="O425" i="1"/>
  <c r="I426" i="1"/>
  <c r="J426" i="1"/>
  <c r="K426" i="1"/>
  <c r="L426" i="1"/>
  <c r="M426" i="1"/>
  <c r="N426" i="1"/>
  <c r="O426" i="1"/>
  <c r="I427" i="1"/>
  <c r="J427" i="1"/>
  <c r="K427" i="1"/>
  <c r="L427" i="1"/>
  <c r="M427" i="1"/>
  <c r="N427" i="1"/>
  <c r="O427" i="1"/>
  <c r="I428" i="1"/>
  <c r="J428" i="1"/>
  <c r="K428" i="1"/>
  <c r="L428" i="1"/>
  <c r="M428" i="1"/>
  <c r="N428" i="1"/>
  <c r="O428" i="1"/>
  <c r="I429" i="1"/>
  <c r="J429" i="1"/>
  <c r="K429" i="1"/>
  <c r="L429" i="1"/>
  <c r="M429" i="1"/>
  <c r="N429" i="1"/>
  <c r="O429" i="1"/>
  <c r="I430" i="1"/>
  <c r="J430" i="1"/>
  <c r="K430" i="1"/>
  <c r="L430" i="1"/>
  <c r="M430" i="1"/>
  <c r="N430" i="1"/>
  <c r="O430" i="1"/>
  <c r="I431" i="1"/>
  <c r="J431" i="1"/>
  <c r="K431" i="1"/>
  <c r="L431" i="1"/>
  <c r="M431" i="1"/>
  <c r="N431" i="1"/>
  <c r="O431" i="1"/>
  <c r="I432" i="1"/>
  <c r="J432" i="1"/>
  <c r="K432" i="1"/>
  <c r="L432" i="1"/>
  <c r="M432" i="1"/>
  <c r="N432" i="1"/>
  <c r="O432" i="1"/>
  <c r="I433" i="1"/>
  <c r="J433" i="1"/>
  <c r="K433" i="1"/>
  <c r="L433" i="1"/>
  <c r="M433" i="1"/>
  <c r="N433" i="1"/>
  <c r="O433" i="1"/>
  <c r="I434" i="1"/>
  <c r="J434" i="1"/>
  <c r="K434" i="1"/>
  <c r="L434" i="1"/>
  <c r="M434" i="1"/>
  <c r="N434" i="1"/>
  <c r="O434" i="1"/>
  <c r="I435" i="1"/>
  <c r="J435" i="1"/>
  <c r="K435" i="1"/>
  <c r="L435" i="1"/>
  <c r="M435" i="1"/>
  <c r="N435" i="1"/>
  <c r="O435" i="1"/>
  <c r="I436" i="1"/>
  <c r="J436" i="1"/>
  <c r="K436" i="1"/>
  <c r="L436" i="1"/>
  <c r="M436" i="1"/>
  <c r="N436" i="1"/>
  <c r="O436" i="1"/>
  <c r="I437" i="1"/>
  <c r="J437" i="1"/>
  <c r="K437" i="1"/>
  <c r="L437" i="1"/>
  <c r="M437" i="1"/>
  <c r="N437" i="1"/>
  <c r="O437" i="1"/>
  <c r="I438" i="1"/>
  <c r="J438" i="1"/>
  <c r="K438" i="1"/>
  <c r="L438" i="1"/>
  <c r="M438" i="1"/>
  <c r="N438" i="1"/>
  <c r="O438" i="1"/>
  <c r="I439" i="1"/>
  <c r="J439" i="1"/>
  <c r="K439" i="1"/>
  <c r="L439" i="1"/>
  <c r="M439" i="1"/>
  <c r="N439" i="1"/>
  <c r="O439" i="1"/>
  <c r="I440" i="1"/>
  <c r="J440" i="1"/>
  <c r="K440" i="1"/>
  <c r="L440" i="1"/>
  <c r="M440" i="1"/>
  <c r="N440" i="1"/>
  <c r="O440" i="1"/>
  <c r="I441" i="1"/>
  <c r="J441" i="1"/>
  <c r="K441" i="1"/>
  <c r="L441" i="1"/>
  <c r="M441" i="1"/>
  <c r="N441" i="1"/>
  <c r="O441" i="1"/>
  <c r="I442" i="1"/>
  <c r="J442" i="1"/>
  <c r="K442" i="1"/>
  <c r="L442" i="1"/>
  <c r="M442" i="1"/>
  <c r="N442" i="1"/>
  <c r="O442" i="1"/>
  <c r="I443" i="1"/>
  <c r="J443" i="1"/>
  <c r="K443" i="1"/>
  <c r="L443" i="1"/>
  <c r="M443" i="1"/>
  <c r="N443" i="1"/>
  <c r="O443" i="1"/>
  <c r="I444" i="1"/>
  <c r="J444" i="1"/>
  <c r="K444" i="1"/>
  <c r="L444" i="1"/>
  <c r="M444" i="1"/>
  <c r="N444" i="1"/>
  <c r="O444" i="1"/>
  <c r="I445" i="1"/>
  <c r="J445" i="1"/>
  <c r="K445" i="1"/>
  <c r="L445" i="1"/>
  <c r="M445" i="1"/>
  <c r="N445" i="1"/>
  <c r="O445" i="1"/>
  <c r="I446" i="1"/>
  <c r="J446" i="1"/>
  <c r="K446" i="1"/>
  <c r="L446" i="1"/>
  <c r="M446" i="1"/>
  <c r="N446" i="1"/>
  <c r="O446" i="1"/>
  <c r="I447" i="1"/>
  <c r="J447" i="1"/>
  <c r="K447" i="1"/>
  <c r="L447" i="1"/>
  <c r="M447" i="1"/>
  <c r="N447" i="1"/>
  <c r="O447" i="1"/>
  <c r="I448" i="1"/>
  <c r="J448" i="1"/>
  <c r="K448" i="1"/>
  <c r="L448" i="1"/>
  <c r="M448" i="1"/>
  <c r="N448" i="1"/>
  <c r="O448" i="1"/>
  <c r="I449" i="1"/>
  <c r="J449" i="1"/>
  <c r="K449" i="1"/>
  <c r="L449" i="1"/>
  <c r="M449" i="1"/>
  <c r="N449" i="1"/>
  <c r="O449" i="1"/>
  <c r="I450" i="1"/>
  <c r="J450" i="1"/>
  <c r="K450" i="1"/>
  <c r="L450" i="1"/>
  <c r="M450" i="1"/>
  <c r="N450" i="1"/>
  <c r="O450" i="1"/>
  <c r="I451" i="1"/>
  <c r="J451" i="1"/>
  <c r="K451" i="1"/>
  <c r="L451" i="1"/>
  <c r="M451" i="1"/>
  <c r="N451" i="1"/>
  <c r="O451" i="1"/>
  <c r="I452" i="1"/>
  <c r="J452" i="1"/>
  <c r="K452" i="1"/>
  <c r="L452" i="1"/>
  <c r="M452" i="1"/>
  <c r="N452" i="1"/>
  <c r="O452" i="1"/>
  <c r="I453" i="1"/>
  <c r="J453" i="1"/>
  <c r="K453" i="1"/>
  <c r="L453" i="1"/>
  <c r="M453" i="1"/>
  <c r="N453" i="1"/>
  <c r="O453" i="1"/>
  <c r="I454" i="1"/>
  <c r="J454" i="1"/>
  <c r="K454" i="1"/>
  <c r="L454" i="1"/>
  <c r="M454" i="1"/>
  <c r="N454" i="1"/>
  <c r="O454" i="1"/>
  <c r="I455" i="1"/>
  <c r="J455" i="1"/>
  <c r="K455" i="1"/>
  <c r="L455" i="1"/>
  <c r="M455" i="1"/>
  <c r="N455" i="1"/>
  <c r="O455" i="1"/>
  <c r="I456" i="1"/>
  <c r="J456" i="1"/>
  <c r="K456" i="1"/>
  <c r="L456" i="1"/>
  <c r="M456" i="1"/>
  <c r="N456" i="1"/>
  <c r="O456" i="1"/>
  <c r="I457" i="1"/>
  <c r="J457" i="1"/>
  <c r="K457" i="1"/>
  <c r="L457" i="1"/>
  <c r="M457" i="1"/>
  <c r="N457" i="1"/>
  <c r="O457" i="1"/>
  <c r="I458" i="1"/>
  <c r="J458" i="1"/>
  <c r="K458" i="1"/>
  <c r="L458" i="1"/>
  <c r="M458" i="1"/>
  <c r="N458" i="1"/>
  <c r="O458" i="1"/>
  <c r="I459" i="1"/>
  <c r="J459" i="1"/>
  <c r="K459" i="1"/>
  <c r="L459" i="1"/>
  <c r="M459" i="1"/>
  <c r="N459" i="1"/>
  <c r="O459" i="1"/>
  <c r="I460" i="1"/>
  <c r="J460" i="1"/>
  <c r="K460" i="1"/>
  <c r="L460" i="1"/>
  <c r="M460" i="1"/>
  <c r="N460" i="1"/>
  <c r="O460" i="1"/>
  <c r="I461" i="1"/>
  <c r="J461" i="1"/>
  <c r="K461" i="1"/>
  <c r="L461" i="1"/>
  <c r="M461" i="1"/>
  <c r="N461" i="1"/>
  <c r="O461" i="1"/>
  <c r="I462" i="1"/>
  <c r="J462" i="1"/>
  <c r="K462" i="1"/>
  <c r="L462" i="1"/>
  <c r="M462" i="1"/>
  <c r="N462" i="1"/>
  <c r="O462" i="1"/>
  <c r="I463" i="1"/>
  <c r="J463" i="1"/>
  <c r="K463" i="1"/>
  <c r="L463" i="1"/>
  <c r="M463" i="1"/>
  <c r="N463" i="1"/>
  <c r="O463" i="1"/>
  <c r="I464" i="1"/>
  <c r="J464" i="1"/>
  <c r="K464" i="1"/>
  <c r="L464" i="1"/>
  <c r="M464" i="1"/>
  <c r="N464" i="1"/>
  <c r="O464" i="1"/>
  <c r="I465" i="1"/>
  <c r="J465" i="1"/>
  <c r="K465" i="1"/>
  <c r="L465" i="1"/>
  <c r="M465" i="1"/>
  <c r="N465" i="1"/>
  <c r="O465" i="1"/>
  <c r="I466" i="1"/>
  <c r="J466" i="1"/>
  <c r="K466" i="1"/>
  <c r="L466" i="1"/>
  <c r="M466" i="1"/>
  <c r="N466" i="1"/>
  <c r="O466" i="1"/>
  <c r="I467" i="1"/>
  <c r="J467" i="1"/>
  <c r="K467" i="1"/>
  <c r="L467" i="1"/>
  <c r="M467" i="1"/>
  <c r="N467" i="1"/>
  <c r="O467" i="1"/>
  <c r="I468" i="1"/>
  <c r="J468" i="1"/>
  <c r="K468" i="1"/>
  <c r="L468" i="1"/>
  <c r="M468" i="1"/>
  <c r="N468" i="1"/>
  <c r="O468" i="1"/>
  <c r="I469" i="1"/>
  <c r="J469" i="1"/>
  <c r="K469" i="1"/>
  <c r="L469" i="1"/>
  <c r="M469" i="1"/>
  <c r="N469" i="1"/>
  <c r="O469" i="1"/>
  <c r="I470" i="1"/>
  <c r="J470" i="1"/>
  <c r="K470" i="1"/>
  <c r="L470" i="1"/>
  <c r="M470" i="1"/>
  <c r="N470" i="1"/>
  <c r="O470" i="1"/>
  <c r="I471" i="1"/>
  <c r="J471" i="1"/>
  <c r="K471" i="1"/>
  <c r="L471" i="1"/>
  <c r="M471" i="1"/>
  <c r="N471" i="1"/>
  <c r="O471" i="1"/>
  <c r="I472" i="1"/>
  <c r="J472" i="1"/>
  <c r="K472" i="1"/>
  <c r="L472" i="1"/>
  <c r="M472" i="1"/>
  <c r="N472" i="1"/>
  <c r="O472" i="1"/>
  <c r="I473" i="1"/>
  <c r="J473" i="1"/>
  <c r="K473" i="1"/>
  <c r="L473" i="1"/>
  <c r="M473" i="1"/>
  <c r="N473" i="1"/>
  <c r="O473" i="1"/>
  <c r="I474" i="1"/>
  <c r="J474" i="1"/>
  <c r="K474" i="1"/>
  <c r="L474" i="1"/>
  <c r="M474" i="1"/>
  <c r="N474" i="1"/>
  <c r="O474" i="1"/>
  <c r="I475" i="1"/>
  <c r="J475" i="1"/>
  <c r="K475" i="1"/>
  <c r="L475" i="1"/>
  <c r="M475" i="1"/>
  <c r="N475" i="1"/>
  <c r="O475" i="1"/>
  <c r="I476" i="1"/>
  <c r="J476" i="1"/>
  <c r="K476" i="1"/>
  <c r="L476" i="1"/>
  <c r="M476" i="1"/>
  <c r="N476" i="1"/>
  <c r="O476" i="1"/>
  <c r="I477" i="1"/>
  <c r="J477" i="1"/>
  <c r="K477" i="1"/>
  <c r="L477" i="1"/>
  <c r="M477" i="1"/>
  <c r="N477" i="1"/>
  <c r="O477" i="1"/>
  <c r="I478" i="1"/>
  <c r="J478" i="1"/>
  <c r="K478" i="1"/>
  <c r="L478" i="1"/>
  <c r="M478" i="1"/>
  <c r="N478" i="1"/>
  <c r="O478" i="1"/>
  <c r="I479" i="1"/>
  <c r="J479" i="1"/>
  <c r="K479" i="1"/>
  <c r="L479" i="1"/>
  <c r="M479" i="1"/>
  <c r="N479" i="1"/>
  <c r="O479" i="1"/>
  <c r="I480" i="1"/>
  <c r="J480" i="1"/>
  <c r="K480" i="1"/>
  <c r="L480" i="1"/>
  <c r="M480" i="1"/>
  <c r="N480" i="1"/>
  <c r="O480" i="1"/>
  <c r="I481" i="1"/>
  <c r="J481" i="1"/>
  <c r="K481" i="1"/>
  <c r="L481" i="1"/>
  <c r="M481" i="1"/>
  <c r="N481" i="1"/>
  <c r="O481" i="1"/>
  <c r="I482" i="1"/>
  <c r="J482" i="1"/>
  <c r="K482" i="1"/>
  <c r="L482" i="1"/>
  <c r="M482" i="1"/>
  <c r="N482" i="1"/>
  <c r="O482" i="1"/>
  <c r="I483" i="1"/>
  <c r="J483" i="1"/>
  <c r="K483" i="1"/>
  <c r="L483" i="1"/>
  <c r="M483" i="1"/>
  <c r="N483" i="1"/>
  <c r="O483" i="1"/>
  <c r="I484" i="1"/>
  <c r="J484" i="1"/>
  <c r="K484" i="1"/>
  <c r="L484" i="1"/>
  <c r="M484" i="1"/>
  <c r="N484" i="1"/>
  <c r="O484" i="1"/>
  <c r="I485" i="1"/>
  <c r="J485" i="1"/>
  <c r="K485" i="1"/>
  <c r="L485" i="1"/>
  <c r="M485" i="1"/>
  <c r="N485" i="1"/>
  <c r="O485" i="1"/>
  <c r="I486" i="1"/>
  <c r="J486" i="1"/>
  <c r="K486" i="1"/>
  <c r="L486" i="1"/>
  <c r="M486" i="1"/>
  <c r="N486" i="1"/>
  <c r="O486" i="1"/>
  <c r="I487" i="1"/>
  <c r="J487" i="1"/>
  <c r="K487" i="1"/>
  <c r="L487" i="1"/>
  <c r="M487" i="1"/>
  <c r="N487" i="1"/>
  <c r="O487" i="1"/>
  <c r="I488" i="1"/>
  <c r="J488" i="1"/>
  <c r="K488" i="1"/>
  <c r="L488" i="1"/>
  <c r="M488" i="1"/>
  <c r="N488" i="1"/>
  <c r="O488" i="1"/>
  <c r="I489" i="1"/>
  <c r="J489" i="1"/>
  <c r="K489" i="1"/>
  <c r="L489" i="1"/>
  <c r="M489" i="1"/>
  <c r="N489" i="1"/>
  <c r="O489" i="1"/>
  <c r="I490" i="1"/>
  <c r="J490" i="1"/>
  <c r="K490" i="1"/>
  <c r="L490" i="1"/>
  <c r="M490" i="1"/>
  <c r="N490" i="1"/>
  <c r="O490" i="1"/>
  <c r="I491" i="1"/>
  <c r="J491" i="1"/>
  <c r="K491" i="1"/>
  <c r="L491" i="1"/>
  <c r="M491" i="1"/>
  <c r="N491" i="1"/>
  <c r="O491" i="1"/>
  <c r="I492" i="1"/>
  <c r="J492" i="1"/>
  <c r="K492" i="1"/>
  <c r="L492" i="1"/>
  <c r="M492" i="1"/>
  <c r="N492" i="1"/>
  <c r="O492" i="1"/>
  <c r="I493" i="1"/>
  <c r="J493" i="1"/>
  <c r="K493" i="1"/>
  <c r="L493" i="1"/>
  <c r="M493" i="1"/>
  <c r="N493" i="1"/>
  <c r="O493" i="1"/>
  <c r="I494" i="1"/>
  <c r="J494" i="1"/>
  <c r="K494" i="1"/>
  <c r="L494" i="1"/>
  <c r="M494" i="1"/>
  <c r="N494" i="1"/>
  <c r="O494" i="1"/>
  <c r="I495" i="1"/>
  <c r="J495" i="1"/>
  <c r="K495" i="1"/>
  <c r="L495" i="1"/>
  <c r="M495" i="1"/>
  <c r="N495" i="1"/>
  <c r="O495" i="1"/>
  <c r="I496" i="1"/>
  <c r="J496" i="1"/>
  <c r="K496" i="1"/>
  <c r="L496" i="1"/>
  <c r="M496" i="1"/>
  <c r="N496" i="1"/>
  <c r="O496" i="1"/>
  <c r="I497" i="1"/>
  <c r="J497" i="1"/>
  <c r="K497" i="1"/>
  <c r="L497" i="1"/>
  <c r="M497" i="1"/>
  <c r="N497" i="1"/>
  <c r="O497" i="1"/>
  <c r="I498" i="1"/>
  <c r="J498" i="1"/>
  <c r="K498" i="1"/>
  <c r="L498" i="1"/>
  <c r="M498" i="1"/>
  <c r="N498" i="1"/>
  <c r="O498" i="1"/>
  <c r="I499" i="1"/>
  <c r="J499" i="1"/>
  <c r="K499" i="1"/>
  <c r="L499" i="1"/>
  <c r="M499" i="1"/>
  <c r="N499" i="1"/>
  <c r="O499" i="1"/>
  <c r="I500" i="1"/>
  <c r="J500" i="1"/>
  <c r="K500" i="1"/>
  <c r="L500" i="1"/>
  <c r="M500" i="1"/>
  <c r="N500" i="1"/>
  <c r="O500" i="1"/>
  <c r="I501" i="1"/>
  <c r="J501" i="1"/>
  <c r="K501" i="1"/>
  <c r="L501" i="1"/>
  <c r="M501" i="1"/>
  <c r="N501" i="1"/>
  <c r="O501" i="1"/>
  <c r="I502" i="1"/>
  <c r="J502" i="1"/>
  <c r="K502" i="1"/>
  <c r="L502" i="1"/>
  <c r="M502" i="1"/>
  <c r="N502" i="1"/>
  <c r="O502" i="1"/>
  <c r="I503" i="1"/>
  <c r="J503" i="1"/>
  <c r="K503" i="1"/>
  <c r="L503" i="1"/>
  <c r="M503" i="1"/>
  <c r="N503" i="1"/>
  <c r="O503" i="1"/>
  <c r="I504" i="1"/>
  <c r="J504" i="1"/>
  <c r="K504" i="1"/>
  <c r="L504" i="1"/>
  <c r="M504" i="1"/>
  <c r="N504" i="1"/>
  <c r="O504" i="1"/>
  <c r="I505" i="1"/>
  <c r="J505" i="1"/>
  <c r="K505" i="1"/>
  <c r="L505" i="1"/>
  <c r="M505" i="1"/>
  <c r="N505" i="1"/>
  <c r="O505" i="1"/>
  <c r="I506" i="1"/>
  <c r="J506" i="1"/>
  <c r="K506" i="1"/>
  <c r="L506" i="1"/>
  <c r="M506" i="1"/>
  <c r="N506" i="1"/>
  <c r="O506" i="1"/>
  <c r="I507" i="1"/>
  <c r="J507" i="1"/>
  <c r="K507" i="1"/>
  <c r="L507" i="1"/>
  <c r="M507" i="1"/>
  <c r="N507" i="1"/>
  <c r="O507" i="1"/>
  <c r="I508" i="1"/>
  <c r="J508" i="1"/>
  <c r="K508" i="1"/>
  <c r="L508" i="1"/>
  <c r="M508" i="1"/>
  <c r="N508" i="1"/>
  <c r="O508" i="1"/>
  <c r="I509" i="1"/>
  <c r="J509" i="1"/>
  <c r="K509" i="1"/>
  <c r="L509" i="1"/>
  <c r="M509" i="1"/>
  <c r="N509" i="1"/>
  <c r="O509" i="1"/>
  <c r="I510" i="1"/>
  <c r="J510" i="1"/>
  <c r="K510" i="1"/>
  <c r="L510" i="1"/>
  <c r="M510" i="1"/>
  <c r="N510" i="1"/>
  <c r="O510" i="1"/>
  <c r="I511" i="1"/>
  <c r="J511" i="1"/>
  <c r="K511" i="1"/>
  <c r="L511" i="1"/>
  <c r="M511" i="1"/>
  <c r="N511" i="1"/>
  <c r="O511" i="1"/>
  <c r="I512" i="1"/>
  <c r="J512" i="1"/>
  <c r="K512" i="1"/>
  <c r="L512" i="1"/>
  <c r="M512" i="1"/>
  <c r="N512" i="1"/>
  <c r="O512" i="1"/>
  <c r="I513" i="1"/>
  <c r="J513" i="1"/>
  <c r="K513" i="1"/>
  <c r="L513" i="1"/>
  <c r="M513" i="1"/>
  <c r="N513" i="1"/>
  <c r="O513" i="1"/>
  <c r="I514" i="1"/>
  <c r="J514" i="1"/>
  <c r="K514" i="1"/>
  <c r="L514" i="1"/>
  <c r="M514" i="1"/>
  <c r="N514" i="1"/>
  <c r="O514" i="1"/>
  <c r="I515" i="1"/>
  <c r="J515" i="1"/>
  <c r="K515" i="1"/>
  <c r="L515" i="1"/>
  <c r="M515" i="1"/>
  <c r="N515" i="1"/>
  <c r="O515" i="1"/>
  <c r="I516" i="1"/>
  <c r="J516" i="1"/>
  <c r="K516" i="1"/>
  <c r="L516" i="1"/>
  <c r="M516" i="1"/>
  <c r="N516" i="1"/>
  <c r="O516" i="1"/>
  <c r="I517" i="1"/>
  <c r="J517" i="1"/>
  <c r="K517" i="1"/>
  <c r="L517" i="1"/>
  <c r="M517" i="1"/>
  <c r="N517" i="1"/>
  <c r="O517" i="1"/>
  <c r="I518" i="1"/>
  <c r="J518" i="1"/>
  <c r="K518" i="1"/>
  <c r="L518" i="1"/>
  <c r="M518" i="1"/>
  <c r="N518" i="1"/>
  <c r="O518" i="1"/>
  <c r="I519" i="1"/>
  <c r="J519" i="1"/>
  <c r="K519" i="1"/>
  <c r="L519" i="1"/>
  <c r="M519" i="1"/>
  <c r="N519" i="1"/>
  <c r="O519" i="1"/>
  <c r="I520" i="1"/>
  <c r="J520" i="1"/>
  <c r="K520" i="1"/>
  <c r="L520" i="1"/>
  <c r="M520" i="1"/>
  <c r="N520" i="1"/>
  <c r="O520" i="1"/>
  <c r="I521" i="1"/>
  <c r="J521" i="1"/>
  <c r="K521" i="1"/>
  <c r="L521" i="1"/>
  <c r="M521" i="1"/>
  <c r="N521" i="1"/>
  <c r="O521" i="1"/>
  <c r="I522" i="1"/>
  <c r="J522" i="1"/>
  <c r="K522" i="1"/>
  <c r="L522" i="1"/>
  <c r="M522" i="1"/>
  <c r="N522" i="1"/>
  <c r="O522" i="1"/>
  <c r="I523" i="1"/>
  <c r="J523" i="1"/>
  <c r="K523" i="1"/>
  <c r="L523" i="1"/>
  <c r="M523" i="1"/>
  <c r="N523" i="1"/>
  <c r="O523" i="1"/>
  <c r="I524" i="1"/>
  <c r="J524" i="1"/>
  <c r="K524" i="1"/>
  <c r="L524" i="1"/>
  <c r="M524" i="1"/>
  <c r="N524" i="1"/>
  <c r="O524" i="1"/>
  <c r="I525" i="1"/>
  <c r="J525" i="1"/>
  <c r="K525" i="1"/>
  <c r="L525" i="1"/>
  <c r="M525" i="1"/>
  <c r="N525" i="1"/>
  <c r="O525" i="1"/>
  <c r="I526" i="1"/>
  <c r="J526" i="1"/>
  <c r="K526" i="1"/>
  <c r="L526" i="1"/>
  <c r="M526" i="1"/>
  <c r="N526" i="1"/>
  <c r="O526" i="1"/>
  <c r="I527" i="1"/>
  <c r="J527" i="1"/>
  <c r="K527" i="1"/>
  <c r="L527" i="1"/>
  <c r="M527" i="1"/>
  <c r="N527" i="1"/>
  <c r="O527" i="1"/>
  <c r="I528" i="1"/>
  <c r="J528" i="1"/>
  <c r="K528" i="1"/>
  <c r="L528" i="1"/>
  <c r="M528" i="1"/>
  <c r="N528" i="1"/>
  <c r="O528" i="1"/>
  <c r="I529" i="1"/>
  <c r="J529" i="1"/>
  <c r="K529" i="1"/>
  <c r="L529" i="1"/>
  <c r="M529" i="1"/>
  <c r="N529" i="1"/>
  <c r="O529" i="1"/>
  <c r="I530" i="1"/>
  <c r="J530" i="1"/>
  <c r="K530" i="1"/>
  <c r="L530" i="1"/>
  <c r="M530" i="1"/>
  <c r="N530" i="1"/>
  <c r="O530" i="1"/>
  <c r="I531" i="1"/>
  <c r="J531" i="1"/>
  <c r="K531" i="1"/>
  <c r="L531" i="1"/>
  <c r="M531" i="1"/>
  <c r="N531" i="1"/>
  <c r="O531" i="1"/>
  <c r="I532" i="1"/>
  <c r="J532" i="1"/>
  <c r="K532" i="1"/>
  <c r="L532" i="1"/>
  <c r="M532" i="1"/>
  <c r="N532" i="1"/>
  <c r="O532" i="1"/>
  <c r="I533" i="1"/>
  <c r="J533" i="1"/>
  <c r="K533" i="1"/>
  <c r="L533" i="1"/>
  <c r="M533" i="1"/>
  <c r="N533" i="1"/>
  <c r="O533" i="1"/>
  <c r="I534" i="1"/>
  <c r="J534" i="1"/>
  <c r="K534" i="1"/>
  <c r="L534" i="1"/>
  <c r="M534" i="1"/>
  <c r="N534" i="1"/>
  <c r="O534" i="1"/>
  <c r="I535" i="1"/>
  <c r="J535" i="1"/>
  <c r="K535" i="1"/>
  <c r="L535" i="1"/>
  <c r="M535" i="1"/>
  <c r="N535" i="1"/>
  <c r="O535" i="1"/>
  <c r="I536" i="1"/>
  <c r="J536" i="1"/>
  <c r="K536" i="1"/>
  <c r="L536" i="1"/>
  <c r="M536" i="1"/>
  <c r="N536" i="1"/>
  <c r="O536" i="1"/>
  <c r="I537" i="1"/>
  <c r="J537" i="1"/>
  <c r="K537" i="1"/>
  <c r="L537" i="1"/>
  <c r="M537" i="1"/>
  <c r="N537" i="1"/>
  <c r="O537" i="1"/>
  <c r="I538" i="1"/>
  <c r="J538" i="1"/>
  <c r="K538" i="1"/>
  <c r="L538" i="1"/>
  <c r="M538" i="1"/>
  <c r="N538" i="1"/>
  <c r="O538" i="1"/>
  <c r="I539" i="1"/>
  <c r="J539" i="1"/>
  <c r="K539" i="1"/>
  <c r="L539" i="1"/>
  <c r="M539" i="1"/>
  <c r="N539" i="1"/>
  <c r="O539" i="1"/>
  <c r="I540" i="1"/>
  <c r="J540" i="1"/>
  <c r="K540" i="1"/>
  <c r="L540" i="1"/>
  <c r="M540" i="1"/>
  <c r="N540" i="1"/>
  <c r="O540" i="1"/>
  <c r="I541" i="1"/>
  <c r="J541" i="1"/>
  <c r="K541" i="1"/>
  <c r="L541" i="1"/>
  <c r="M541" i="1"/>
  <c r="N541" i="1"/>
  <c r="O541" i="1"/>
  <c r="I542" i="1"/>
  <c r="J542" i="1"/>
  <c r="K542" i="1"/>
  <c r="L542" i="1"/>
  <c r="M542" i="1"/>
  <c r="N542" i="1"/>
  <c r="O542" i="1"/>
  <c r="I543" i="1"/>
  <c r="J543" i="1"/>
  <c r="K543" i="1"/>
  <c r="L543" i="1"/>
  <c r="M543" i="1"/>
  <c r="N543" i="1"/>
  <c r="O543" i="1"/>
  <c r="I544" i="1"/>
  <c r="J544" i="1"/>
  <c r="K544" i="1"/>
  <c r="L544" i="1"/>
  <c r="M544" i="1"/>
  <c r="N544" i="1"/>
  <c r="O544" i="1"/>
  <c r="I545" i="1"/>
  <c r="J545" i="1"/>
  <c r="K545" i="1"/>
  <c r="L545" i="1"/>
  <c r="M545" i="1"/>
  <c r="N545" i="1"/>
  <c r="O545" i="1"/>
  <c r="I546" i="1"/>
  <c r="J546" i="1"/>
  <c r="K546" i="1"/>
  <c r="L546" i="1"/>
  <c r="M546" i="1"/>
  <c r="N546" i="1"/>
  <c r="O546" i="1"/>
  <c r="I547" i="1"/>
  <c r="J547" i="1"/>
  <c r="K547" i="1"/>
  <c r="L547" i="1"/>
  <c r="M547" i="1"/>
  <c r="N547" i="1"/>
  <c r="O547" i="1"/>
  <c r="I548" i="1"/>
  <c r="J548" i="1"/>
  <c r="K548" i="1"/>
  <c r="L548" i="1"/>
  <c r="M548" i="1"/>
  <c r="N548" i="1"/>
  <c r="O548" i="1"/>
  <c r="I549" i="1"/>
  <c r="J549" i="1"/>
  <c r="K549" i="1"/>
  <c r="L549" i="1"/>
  <c r="M549" i="1"/>
  <c r="N549" i="1"/>
  <c r="O549" i="1"/>
  <c r="I550" i="1"/>
  <c r="J550" i="1"/>
  <c r="K550" i="1"/>
  <c r="L550" i="1"/>
  <c r="M550" i="1"/>
  <c r="N550" i="1"/>
  <c r="O550" i="1"/>
  <c r="I551" i="1"/>
  <c r="J551" i="1"/>
  <c r="K551" i="1"/>
  <c r="L551" i="1"/>
  <c r="M551" i="1"/>
  <c r="N551" i="1"/>
  <c r="O551" i="1"/>
  <c r="I552" i="1"/>
  <c r="J552" i="1"/>
  <c r="K552" i="1"/>
  <c r="L552" i="1"/>
  <c r="M552" i="1"/>
  <c r="N552" i="1"/>
  <c r="O552" i="1"/>
  <c r="I553" i="1"/>
  <c r="J553" i="1"/>
  <c r="K553" i="1"/>
  <c r="L553" i="1"/>
  <c r="M553" i="1"/>
  <c r="N553" i="1"/>
  <c r="O553" i="1"/>
  <c r="I554" i="1"/>
  <c r="J554" i="1"/>
  <c r="K554" i="1"/>
  <c r="L554" i="1"/>
  <c r="M554" i="1"/>
  <c r="N554" i="1"/>
  <c r="O554" i="1"/>
  <c r="I555" i="1"/>
  <c r="J555" i="1"/>
  <c r="K555" i="1"/>
  <c r="L555" i="1"/>
  <c r="M555" i="1"/>
  <c r="N555" i="1"/>
  <c r="O555" i="1"/>
  <c r="I556" i="1"/>
  <c r="J556" i="1"/>
  <c r="K556" i="1"/>
  <c r="L556" i="1"/>
  <c r="M556" i="1"/>
  <c r="N556" i="1"/>
  <c r="O556" i="1"/>
  <c r="I557" i="1"/>
  <c r="J557" i="1"/>
  <c r="K557" i="1"/>
  <c r="L557" i="1"/>
  <c r="M557" i="1"/>
  <c r="N557" i="1"/>
  <c r="O557" i="1"/>
  <c r="I558" i="1"/>
  <c r="J558" i="1"/>
  <c r="K558" i="1"/>
  <c r="L558" i="1"/>
  <c r="M558" i="1"/>
  <c r="N558" i="1"/>
  <c r="O558" i="1"/>
  <c r="I559" i="1"/>
  <c r="J559" i="1"/>
  <c r="K559" i="1"/>
  <c r="L559" i="1"/>
  <c r="M559" i="1"/>
  <c r="N559" i="1"/>
  <c r="O559" i="1"/>
  <c r="I560" i="1"/>
  <c r="J560" i="1"/>
  <c r="K560" i="1"/>
  <c r="L560" i="1"/>
  <c r="M560" i="1"/>
  <c r="N560" i="1"/>
  <c r="O560" i="1"/>
  <c r="I561" i="1"/>
  <c r="J561" i="1"/>
  <c r="K561" i="1"/>
  <c r="L561" i="1"/>
  <c r="M561" i="1"/>
  <c r="N561" i="1"/>
  <c r="O561" i="1"/>
  <c r="I562" i="1"/>
  <c r="J562" i="1"/>
  <c r="K562" i="1"/>
  <c r="L562" i="1"/>
  <c r="M562" i="1"/>
  <c r="N562" i="1"/>
  <c r="O562" i="1"/>
  <c r="I563" i="1"/>
  <c r="J563" i="1"/>
  <c r="K563" i="1"/>
  <c r="L563" i="1"/>
  <c r="M563" i="1"/>
  <c r="N563" i="1"/>
  <c r="O563" i="1"/>
  <c r="I564" i="1"/>
  <c r="J564" i="1"/>
  <c r="K564" i="1"/>
  <c r="L564" i="1"/>
  <c r="M564" i="1"/>
  <c r="N564" i="1"/>
  <c r="O564" i="1"/>
  <c r="I565" i="1"/>
  <c r="J565" i="1"/>
  <c r="K565" i="1"/>
  <c r="L565" i="1"/>
  <c r="M565" i="1"/>
  <c r="N565" i="1"/>
  <c r="O565" i="1"/>
  <c r="I566" i="1"/>
  <c r="J566" i="1"/>
  <c r="K566" i="1"/>
  <c r="L566" i="1"/>
  <c r="M566" i="1"/>
  <c r="N566" i="1"/>
  <c r="O566" i="1"/>
  <c r="I567" i="1"/>
  <c r="J567" i="1"/>
  <c r="K567" i="1"/>
  <c r="L567" i="1"/>
  <c r="M567" i="1"/>
  <c r="N567" i="1"/>
  <c r="O567" i="1"/>
  <c r="I568" i="1"/>
  <c r="J568" i="1"/>
  <c r="K568" i="1"/>
  <c r="L568" i="1"/>
  <c r="M568" i="1"/>
  <c r="N568" i="1"/>
  <c r="O568" i="1"/>
  <c r="I569" i="1"/>
  <c r="J569" i="1"/>
  <c r="K569" i="1"/>
  <c r="L569" i="1"/>
  <c r="M569" i="1"/>
  <c r="N569" i="1"/>
  <c r="O569" i="1"/>
  <c r="I570" i="1"/>
  <c r="J570" i="1"/>
  <c r="K570" i="1"/>
  <c r="L570" i="1"/>
  <c r="M570" i="1"/>
  <c r="N570" i="1"/>
  <c r="O570" i="1"/>
  <c r="I571" i="1"/>
  <c r="J571" i="1"/>
  <c r="K571" i="1"/>
  <c r="L571" i="1"/>
  <c r="M571" i="1"/>
  <c r="N571" i="1"/>
  <c r="O571" i="1"/>
  <c r="I572" i="1"/>
  <c r="J572" i="1"/>
  <c r="K572" i="1"/>
  <c r="L572" i="1"/>
  <c r="M572" i="1"/>
  <c r="N572" i="1"/>
  <c r="O572" i="1"/>
  <c r="I573" i="1"/>
  <c r="J573" i="1"/>
  <c r="K573" i="1"/>
  <c r="L573" i="1"/>
  <c r="M573" i="1"/>
  <c r="N573" i="1"/>
  <c r="O573" i="1"/>
  <c r="I574" i="1"/>
  <c r="J574" i="1"/>
  <c r="K574" i="1"/>
  <c r="L574" i="1"/>
  <c r="M574" i="1"/>
  <c r="N574" i="1"/>
  <c r="O574" i="1"/>
  <c r="I575" i="1"/>
  <c r="J575" i="1"/>
  <c r="K575" i="1"/>
  <c r="L575" i="1"/>
  <c r="M575" i="1"/>
  <c r="N575" i="1"/>
  <c r="O575" i="1"/>
  <c r="I576" i="1"/>
  <c r="J576" i="1"/>
  <c r="K576" i="1"/>
  <c r="L576" i="1"/>
  <c r="M576" i="1"/>
  <c r="N576" i="1"/>
  <c r="O576" i="1"/>
  <c r="I577" i="1"/>
  <c r="J577" i="1"/>
  <c r="K577" i="1"/>
  <c r="L577" i="1"/>
  <c r="M577" i="1"/>
  <c r="N577" i="1"/>
  <c r="O577" i="1"/>
  <c r="I578" i="1"/>
  <c r="J578" i="1"/>
  <c r="K578" i="1"/>
  <c r="L578" i="1"/>
  <c r="M578" i="1"/>
  <c r="N578" i="1"/>
  <c r="O578" i="1"/>
  <c r="I579" i="1"/>
  <c r="J579" i="1"/>
  <c r="K579" i="1"/>
  <c r="L579" i="1"/>
  <c r="M579" i="1"/>
  <c r="N579" i="1"/>
  <c r="O579" i="1"/>
  <c r="I580" i="1"/>
  <c r="J580" i="1"/>
  <c r="K580" i="1"/>
  <c r="L580" i="1"/>
  <c r="M580" i="1"/>
  <c r="N580" i="1"/>
  <c r="O580" i="1"/>
  <c r="I581" i="1"/>
  <c r="J581" i="1"/>
  <c r="K581" i="1"/>
  <c r="L581" i="1"/>
  <c r="M581" i="1"/>
  <c r="N581" i="1"/>
  <c r="O581" i="1"/>
  <c r="I582" i="1"/>
  <c r="J582" i="1"/>
  <c r="K582" i="1"/>
  <c r="L582" i="1"/>
  <c r="M582" i="1"/>
  <c r="N582" i="1"/>
  <c r="O582" i="1"/>
  <c r="I583" i="1"/>
  <c r="J583" i="1"/>
  <c r="K583" i="1"/>
  <c r="L583" i="1"/>
  <c r="M583" i="1"/>
  <c r="N583" i="1"/>
  <c r="O583" i="1"/>
  <c r="I584" i="1"/>
  <c r="J584" i="1"/>
  <c r="K584" i="1"/>
  <c r="L584" i="1"/>
  <c r="M584" i="1"/>
  <c r="N584" i="1"/>
  <c r="O584" i="1"/>
  <c r="I585" i="1"/>
  <c r="J585" i="1"/>
  <c r="K585" i="1"/>
  <c r="L585" i="1"/>
  <c r="M585" i="1"/>
  <c r="N585" i="1"/>
  <c r="O585" i="1"/>
  <c r="I586" i="1"/>
  <c r="J586" i="1"/>
  <c r="K586" i="1"/>
  <c r="L586" i="1"/>
  <c r="M586" i="1"/>
  <c r="N586" i="1"/>
  <c r="O586" i="1"/>
  <c r="I587" i="1"/>
  <c r="J587" i="1"/>
  <c r="K587" i="1"/>
  <c r="L587" i="1"/>
  <c r="M587" i="1"/>
  <c r="N587" i="1"/>
  <c r="O587" i="1"/>
  <c r="I588" i="1"/>
  <c r="J588" i="1"/>
  <c r="K588" i="1"/>
  <c r="L588" i="1"/>
  <c r="M588" i="1"/>
  <c r="N588" i="1"/>
  <c r="O588" i="1"/>
  <c r="I589" i="1"/>
  <c r="J589" i="1"/>
  <c r="K589" i="1"/>
  <c r="L589" i="1"/>
  <c r="M589" i="1"/>
  <c r="N589" i="1"/>
  <c r="O589" i="1"/>
  <c r="I590" i="1"/>
  <c r="J590" i="1"/>
  <c r="K590" i="1"/>
  <c r="L590" i="1"/>
  <c r="M590" i="1"/>
  <c r="N590" i="1"/>
  <c r="O590" i="1"/>
  <c r="I591" i="1"/>
  <c r="J591" i="1"/>
  <c r="K591" i="1"/>
  <c r="L591" i="1"/>
  <c r="M591" i="1"/>
  <c r="N591" i="1"/>
  <c r="O591" i="1"/>
  <c r="I592" i="1"/>
  <c r="J592" i="1"/>
  <c r="K592" i="1"/>
  <c r="L592" i="1"/>
  <c r="M592" i="1"/>
  <c r="N592" i="1"/>
  <c r="O592" i="1"/>
  <c r="I593" i="1"/>
  <c r="J593" i="1"/>
  <c r="K593" i="1"/>
  <c r="L593" i="1"/>
  <c r="M593" i="1"/>
  <c r="N593" i="1"/>
  <c r="O593" i="1"/>
  <c r="I594" i="1"/>
  <c r="J594" i="1"/>
  <c r="K594" i="1"/>
  <c r="L594" i="1"/>
  <c r="M594" i="1"/>
  <c r="N594" i="1"/>
  <c r="O594" i="1"/>
  <c r="I595" i="1"/>
  <c r="J595" i="1"/>
  <c r="K595" i="1"/>
  <c r="L595" i="1"/>
  <c r="M595" i="1"/>
  <c r="N595" i="1"/>
  <c r="O595" i="1"/>
  <c r="I596" i="1"/>
  <c r="J596" i="1"/>
  <c r="K596" i="1"/>
  <c r="L596" i="1"/>
  <c r="M596" i="1"/>
  <c r="N596" i="1"/>
  <c r="O596" i="1"/>
  <c r="I597" i="1"/>
  <c r="J597" i="1"/>
  <c r="K597" i="1"/>
  <c r="L597" i="1"/>
  <c r="M597" i="1"/>
  <c r="N597" i="1"/>
  <c r="O597" i="1"/>
  <c r="I598" i="1"/>
  <c r="J598" i="1"/>
  <c r="K598" i="1"/>
  <c r="L598" i="1"/>
  <c r="M598" i="1"/>
  <c r="N598" i="1"/>
  <c r="O598" i="1"/>
  <c r="I599" i="1"/>
  <c r="J599" i="1"/>
  <c r="K599" i="1"/>
  <c r="L599" i="1"/>
  <c r="M599" i="1"/>
  <c r="N599" i="1"/>
  <c r="O599" i="1"/>
  <c r="I600" i="1"/>
  <c r="J600" i="1"/>
  <c r="K600" i="1"/>
  <c r="L600" i="1"/>
  <c r="M600" i="1"/>
  <c r="N600" i="1"/>
  <c r="O600" i="1"/>
  <c r="I601" i="1"/>
  <c r="J601" i="1"/>
  <c r="K601" i="1"/>
  <c r="L601" i="1"/>
  <c r="M601" i="1"/>
  <c r="N601" i="1"/>
  <c r="O601" i="1"/>
  <c r="I602" i="1"/>
  <c r="J602" i="1"/>
  <c r="K602" i="1"/>
  <c r="L602" i="1"/>
  <c r="M602" i="1"/>
  <c r="N602" i="1"/>
  <c r="O602" i="1"/>
  <c r="I603" i="1"/>
  <c r="J603" i="1"/>
  <c r="K603" i="1"/>
  <c r="L603" i="1"/>
  <c r="M603" i="1"/>
  <c r="N603" i="1"/>
  <c r="O603" i="1"/>
  <c r="I604" i="1"/>
  <c r="J604" i="1"/>
  <c r="K604" i="1"/>
  <c r="L604" i="1"/>
  <c r="M604" i="1"/>
  <c r="N604" i="1"/>
  <c r="O604" i="1"/>
  <c r="I605" i="1"/>
  <c r="J605" i="1"/>
  <c r="K605" i="1"/>
  <c r="L605" i="1"/>
  <c r="M605" i="1"/>
  <c r="N605" i="1"/>
  <c r="O605" i="1"/>
  <c r="I606" i="1"/>
  <c r="J606" i="1"/>
  <c r="K606" i="1"/>
  <c r="L606" i="1"/>
  <c r="M606" i="1"/>
  <c r="N606" i="1"/>
  <c r="O606" i="1"/>
  <c r="I607" i="1"/>
  <c r="J607" i="1"/>
  <c r="K607" i="1"/>
  <c r="L607" i="1"/>
  <c r="M607" i="1"/>
  <c r="N607" i="1"/>
  <c r="O607" i="1"/>
  <c r="I608" i="1"/>
  <c r="J608" i="1"/>
  <c r="K608" i="1"/>
  <c r="L608" i="1"/>
  <c r="M608" i="1"/>
  <c r="N608" i="1"/>
  <c r="O608" i="1"/>
  <c r="I609" i="1"/>
  <c r="J609" i="1"/>
  <c r="K609" i="1"/>
  <c r="L609" i="1"/>
  <c r="M609" i="1"/>
  <c r="N609" i="1"/>
  <c r="O609" i="1"/>
  <c r="I610" i="1"/>
  <c r="J610" i="1"/>
  <c r="K610" i="1"/>
  <c r="L610" i="1"/>
  <c r="M610" i="1"/>
  <c r="N610" i="1"/>
  <c r="O610" i="1"/>
  <c r="I611" i="1"/>
  <c r="J611" i="1"/>
  <c r="K611" i="1"/>
  <c r="L611" i="1"/>
  <c r="M611" i="1"/>
  <c r="N611" i="1"/>
  <c r="O611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<sst xmlns="http://schemas.openxmlformats.org/spreadsheetml/2006/main" count="54" uniqueCount="32">
  <si>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</si>
  <si>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</si>
  <si>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</si>
  <si>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</si>
  <si>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</si>
  <si>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</si>
  <si>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</si>
  <si>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</si>
  <si>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</si>
  <si>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</si>
  <si>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</si>
  <si>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</si>
  <si>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</si>
  <si>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</si>
  <si>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</si>
  <si>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Grand Total</t>
  </si>
  <si>
    <t>Sum of cnt</t>
  </si>
  <si>
    <t>DteDay (2011)</t>
  </si>
  <si>
    <t>(blank)</t>
  </si>
  <si>
    <t>windspeed</t>
  </si>
  <si>
    <t>Daily Demand</t>
  </si>
  <si>
    <t>Effect of Weathersit on cnt,register,casual</t>
  </si>
  <si>
    <t>Effect of Temp on Demand</t>
  </si>
  <si>
    <t xml:space="preserve">Effect of Windspeed on Demand </t>
  </si>
  <si>
    <t>HUM</t>
  </si>
  <si>
    <t>Effect of Hum on Demand</t>
  </si>
  <si>
    <t>FALSE</t>
  </si>
  <si>
    <t>TRUE</t>
  </si>
  <si>
    <t>Effect of Holiday on Demand</t>
  </si>
  <si>
    <t>Effect of weekday on Demnad</t>
  </si>
  <si>
    <t>(All)</t>
  </si>
  <si>
    <t>Demand in Diff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</si>
</sst>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A.xlsx]Daily Demand!PivotTable8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025371828521428E-2"/>
          <c:y val="0.30495151647710705"/>
          <c:w val="0.87753018372703417"/>
          <c:h val="0.39420202682997957"/>
        </c:manualLayout>
      </c:layout>
      <c:lineChart>
        <c:grouping val="standard"/>
        <c:varyColors val="0"/>
        <c:ser>
          <c:idx val="0"/>
          <c:order val="0"/>
          <c:tx>
            <c:strRef>
              <c:f>'Daily Demand'!$B$3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Demand'!$A$4:$A$32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'Daily Demand'!$B$4:$B$32</c:f>
              <c:numCache>
                <c:formatCode>General</c:formatCode>
                <c:ptCount val="28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3-49F7-8397-AEE813ABA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616175"/>
        <c:axId val="1379626255"/>
      </c:lineChart>
      <c:catAx>
        <c:axId val="13796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26255"/>
        <c:crosses val="autoZero"/>
        <c:auto val="1"/>
        <c:lblAlgn val="ctr"/>
        <c:lblOffset val="100"/>
        <c:noMultiLvlLbl val="0"/>
      </c:catAx>
      <c:valAx>
        <c:axId val="137962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1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A.xlsx]weathersit!PivotTable1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36927629269266E-2"/>
          <c:y val="0.17223449723172468"/>
          <c:w val="0.80441523801405757"/>
          <c:h val="0.63657725907108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weathersit!$B$3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weathersit!$A$4:$A$8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weathersit!$B$4:$B$8</c:f>
              <c:numCache>
                <c:formatCode>General</c:formatCode>
                <c:ptCount val="4"/>
                <c:pt idx="0">
                  <c:v>21973</c:v>
                </c:pt>
                <c:pt idx="1">
                  <c:v>10426</c:v>
                </c:pt>
                <c:pt idx="2">
                  <c:v>1463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D-4B09-A7A9-AC58EC4B5F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0212112"/>
        <c:axId val="580230352"/>
      </c:barChart>
      <c:catAx>
        <c:axId val="58021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Weathersit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30352"/>
        <c:crosses val="autoZero"/>
        <c:auto val="1"/>
        <c:lblAlgn val="ctr"/>
        <c:lblOffset val="100"/>
        <c:noMultiLvlLbl val="0"/>
      </c:catAx>
      <c:valAx>
        <c:axId val="58023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1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A.xlsx]Temp!PivotTable1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Temp!$B$3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Temp!$A$4:$A$28</c:f>
              <c:strCache>
                <c:ptCount val="24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(blank)</c:v>
                </c:pt>
              </c:strCache>
            </c:strRef>
          </c:cat>
          <c:val>
            <c:numRef>
              <c:f>Temp!$B$4:$B$28</c:f>
              <c:numCache>
                <c:formatCode>General</c:formatCode>
                <c:ptCount val="24"/>
                <c:pt idx="0">
                  <c:v>168</c:v>
                </c:pt>
                <c:pt idx="1">
                  <c:v>387</c:v>
                </c:pt>
                <c:pt idx="2">
                  <c:v>457</c:v>
                </c:pt>
                <c:pt idx="3">
                  <c:v>276</c:v>
                </c:pt>
                <c:pt idx="4">
                  <c:v>495</c:v>
                </c:pt>
                <c:pt idx="5">
                  <c:v>1498</c:v>
                </c:pt>
                <c:pt idx="6">
                  <c:v>2788</c:v>
                </c:pt>
                <c:pt idx="7">
                  <c:v>4164</c:v>
                </c:pt>
                <c:pt idx="8">
                  <c:v>2583</c:v>
                </c:pt>
                <c:pt idx="9">
                  <c:v>5935</c:v>
                </c:pt>
                <c:pt idx="10">
                  <c:v>4362</c:v>
                </c:pt>
                <c:pt idx="11">
                  <c:v>2726</c:v>
                </c:pt>
                <c:pt idx="12">
                  <c:v>2110</c:v>
                </c:pt>
                <c:pt idx="13">
                  <c:v>890</c:v>
                </c:pt>
                <c:pt idx="14">
                  <c:v>1733</c:v>
                </c:pt>
                <c:pt idx="15">
                  <c:v>945</c:v>
                </c:pt>
                <c:pt idx="16">
                  <c:v>504</c:v>
                </c:pt>
                <c:pt idx="17">
                  <c:v>656</c:v>
                </c:pt>
                <c:pt idx="18">
                  <c:v>160</c:v>
                </c:pt>
                <c:pt idx="19">
                  <c:v>342</c:v>
                </c:pt>
                <c:pt idx="20">
                  <c:v>260</c:v>
                </c:pt>
                <c:pt idx="21">
                  <c:v>194</c:v>
                </c:pt>
                <c:pt idx="22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1-4A57-976D-0DF9EB1D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13263"/>
        <c:axId val="408702223"/>
      </c:lineChart>
      <c:catAx>
        <c:axId val="4087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2223"/>
        <c:crosses val="autoZero"/>
        <c:auto val="1"/>
        <c:lblAlgn val="ctr"/>
        <c:lblOffset val="100"/>
        <c:noMultiLvlLbl val="0"/>
      </c:catAx>
      <c:valAx>
        <c:axId val="40870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A.xlsx]Holiday!PivotTable1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Holiday!$A$4:$A$6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Holiday!$B$4:$B$6</c:f>
              <c:numCache>
                <c:formatCode>General</c:formatCode>
                <c:ptCount val="2"/>
                <c:pt idx="0">
                  <c:v>32898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F-4797-B99B-65E2C870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083423"/>
        <c:axId val="1916083903"/>
      </c:barChart>
      <c:catAx>
        <c:axId val="19160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83903"/>
        <c:crosses val="autoZero"/>
        <c:auto val="1"/>
        <c:lblAlgn val="ctr"/>
        <c:lblOffset val="100"/>
        <c:noMultiLvlLbl val="0"/>
      </c:catAx>
      <c:valAx>
        <c:axId val="19160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A.xlsx]Windspeed!PivotTable2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Windspeed!$B$3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Windspeed!$A$4:$A$25</c:f>
              <c:strCache>
                <c:ptCount val="21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  <c:pt idx="20">
                  <c:v>(blank)</c:v>
                </c:pt>
              </c:strCache>
            </c:strRef>
          </c:cat>
          <c:val>
            <c:numRef>
              <c:f>Windspeed!$B$4:$B$25</c:f>
              <c:numCache>
                <c:formatCode>General</c:formatCode>
                <c:ptCount val="21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C-4D68-990D-4B7927FAC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06063"/>
        <c:axId val="408712303"/>
      </c:lineChart>
      <c:catAx>
        <c:axId val="4087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2303"/>
        <c:crosses val="autoZero"/>
        <c:auto val="1"/>
        <c:lblAlgn val="ctr"/>
        <c:lblOffset val="100"/>
        <c:noMultiLvlLbl val="0"/>
      </c:catAx>
      <c:valAx>
        <c:axId val="40871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A.xlsx]Hum!PivotTable3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Hum!$B$3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Hum!$A$4:$A$66</c:f>
              <c:strCache>
                <c:ptCount val="62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  <c:pt idx="61">
                  <c:v>(blank)</c:v>
                </c:pt>
              </c:strCache>
            </c:strRef>
          </c:cat>
          <c:val>
            <c:numRef>
              <c:f>Hum!$B$4:$B$66</c:f>
              <c:numCache>
                <c:formatCode>General</c:formatCode>
                <c:ptCount val="62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9-42B6-BC59-D3D9B78EB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01263"/>
        <c:axId val="408718063"/>
      </c:lineChart>
      <c:catAx>
        <c:axId val="40870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8063"/>
        <c:crosses val="autoZero"/>
        <c:auto val="1"/>
        <c:lblAlgn val="ctr"/>
        <c:lblOffset val="100"/>
        <c:noMultiLvlLbl val="0"/>
      </c:catAx>
      <c:valAx>
        <c:axId val="4087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A.xlsx]Weekday!PivotTable1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Weekday!$A$4:$A$11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Weekday!$B$4:$B$11</c:f>
              <c:numCache>
                <c:formatCode>General</c:formatCode>
                <c:ptCount val="7"/>
                <c:pt idx="0">
                  <c:v>3813</c:v>
                </c:pt>
                <c:pt idx="1">
                  <c:v>5086</c:v>
                </c:pt>
                <c:pt idx="2">
                  <c:v>5493</c:v>
                </c:pt>
                <c:pt idx="3">
                  <c:v>4918</c:v>
                </c:pt>
                <c:pt idx="4">
                  <c:v>5370</c:v>
                </c:pt>
                <c:pt idx="5">
                  <c:v>5045</c:v>
                </c:pt>
                <c:pt idx="6">
                  <c:v>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2-4C3E-8F2D-A644499B0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921904"/>
        <c:axId val="1787915664"/>
      </c:barChart>
      <c:catAx>
        <c:axId val="178792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15664"/>
        <c:crosses val="autoZero"/>
        <c:auto val="1"/>
        <c:lblAlgn val="ctr"/>
        <c:lblOffset val="100"/>
        <c:noMultiLvlLbl val="0"/>
      </c:catAx>
      <c:valAx>
        <c:axId val="17879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 A.xlsx]Hr!PivotTable1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Hr!$B$4:$B$28</c:f>
              <c:numCache>
                <c:formatCode>General</c:formatCode>
                <c:ptCount val="24"/>
                <c:pt idx="0">
                  <c:v>370</c:v>
                </c:pt>
                <c:pt idx="1">
                  <c:v>239</c:v>
                </c:pt>
                <c:pt idx="2">
                  <c:v>170</c:v>
                </c:pt>
                <c:pt idx="3">
                  <c:v>76</c:v>
                </c:pt>
                <c:pt idx="4">
                  <c:v>38</c:v>
                </c:pt>
                <c:pt idx="5">
                  <c:v>95</c:v>
                </c:pt>
                <c:pt idx="6">
                  <c:v>476</c:v>
                </c:pt>
                <c:pt idx="7">
                  <c:v>1393</c:v>
                </c:pt>
                <c:pt idx="8">
                  <c:v>3318</c:v>
                </c:pt>
                <c:pt idx="9">
                  <c:v>2196</c:v>
                </c:pt>
                <c:pt idx="10">
                  <c:v>1301</c:v>
                </c:pt>
                <c:pt idx="11">
                  <c:v>1455</c:v>
                </c:pt>
                <c:pt idx="12">
                  <c:v>1936</c:v>
                </c:pt>
                <c:pt idx="13">
                  <c:v>2015</c:v>
                </c:pt>
                <c:pt idx="14">
                  <c:v>1827</c:v>
                </c:pt>
                <c:pt idx="15">
                  <c:v>1934</c:v>
                </c:pt>
                <c:pt idx="16">
                  <c:v>2200</c:v>
                </c:pt>
                <c:pt idx="17">
                  <c:v>3550</c:v>
                </c:pt>
                <c:pt idx="18">
                  <c:v>3082</c:v>
                </c:pt>
                <c:pt idx="19">
                  <c:v>2213</c:v>
                </c:pt>
                <c:pt idx="20">
                  <c:v>1541</c:v>
                </c:pt>
                <c:pt idx="21">
                  <c:v>1075</c:v>
                </c:pt>
                <c:pt idx="22">
                  <c:v>838</c:v>
                </c:pt>
                <c:pt idx="2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B-42D6-AB1B-34ABAD503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388639"/>
        <c:axId val="955396799"/>
      </c:barChart>
      <c:catAx>
        <c:axId val="95538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96799"/>
        <c:crosses val="autoZero"/>
        <c:auto val="1"/>
        <c:lblAlgn val="ctr"/>
        <c:lblOffset val="100"/>
        <c:noMultiLvlLbl val="0"/>
      </c:catAx>
      <c:valAx>
        <c:axId val="95539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8</xdr:row>
      <xdr:rowOff>19050</xdr:rowOff>
    </xdr:from>
    <xdr:to>
      <xdr:col>11</xdr:col>
      <xdr:colOff>7620</xdr:colOff>
      <xdr:row>23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D89BCB-906C-1631-C8D7-68CC9C0D5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5</xdr:row>
      <xdr:rowOff>140970</xdr:rowOff>
    </xdr:from>
    <xdr:to>
      <xdr:col>13</xdr:col>
      <xdr:colOff>541020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9FC24-72C8-5928-1A0B-5A8F019D2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4</xdr:row>
      <xdr:rowOff>171450</xdr:rowOff>
    </xdr:from>
    <xdr:to>
      <xdr:col>12</xdr:col>
      <xdr:colOff>53340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7B408-DE41-881C-91F6-0415B83A7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133350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995664-A1C5-A484-49AC-4081F4C98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4</xdr:row>
      <xdr:rowOff>171450</xdr:rowOff>
    </xdr:from>
    <xdr:to>
      <xdr:col>12</xdr:col>
      <xdr:colOff>53340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174A5-65FA-8D23-BE7D-0EE4A3DD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4</xdr:row>
      <xdr:rowOff>171450</xdr:rowOff>
    </xdr:from>
    <xdr:to>
      <xdr:col>12</xdr:col>
      <xdr:colOff>53340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A4E7A-EE10-29F0-2AB7-B780FD4B3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133350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D8560-E2EA-BEC9-9EA5-FED6E0EC1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4</xdr:row>
      <xdr:rowOff>144780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1F3FF-0E0F-CB22-7B1D-9E053FBAC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dha\Desktop\New%20folder\PROJECT\dataset_21.xlsx" TargetMode="External"/><Relationship Id="rId1" Type="http://schemas.openxmlformats.org/officeDocument/2006/relationships/externalLinkPath" Target="/Users/sudha/Desktop/New%20folder/PROJECT/dataset_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Datasheet_2"/>
    </sheetNames>
    <sheetDataSet>
      <sheetData sheetId="0" refreshError="1"/>
      <sheetData sheetId="1" refreshError="1"/>
      <sheetData sheetId="2" refreshError="1"/>
      <sheetData sheetId="3">
        <row r="2">
          <cell r="A2">
            <v>1</v>
          </cell>
          <cell r="B2">
            <v>0</v>
          </cell>
          <cell r="C2">
            <v>0.28789999999999999</v>
          </cell>
          <cell r="D2">
            <v>0.81</v>
          </cell>
          <cell r="E2">
            <v>0</v>
          </cell>
          <cell r="F2">
            <v>3</v>
          </cell>
          <cell r="G2">
            <v>13</v>
          </cell>
          <cell r="H2">
            <v>16</v>
          </cell>
        </row>
        <row r="3">
          <cell r="A3">
            <v>2</v>
          </cell>
          <cell r="B3">
            <v>1</v>
          </cell>
          <cell r="C3">
            <v>0.2727</v>
          </cell>
          <cell r="D3">
            <v>0.8</v>
          </cell>
          <cell r="E3">
            <v>0</v>
          </cell>
          <cell r="F3">
            <v>8</v>
          </cell>
          <cell r="G3">
            <v>32</v>
          </cell>
          <cell r="H3">
            <v>40</v>
          </cell>
        </row>
        <row r="4">
          <cell r="A4">
            <v>3</v>
          </cell>
          <cell r="B4">
            <v>2</v>
          </cell>
          <cell r="C4">
            <v>0.2727</v>
          </cell>
          <cell r="D4">
            <v>0.8</v>
          </cell>
          <cell r="E4">
            <v>0</v>
          </cell>
          <cell r="F4">
            <v>5</v>
          </cell>
          <cell r="G4">
            <v>27</v>
          </cell>
          <cell r="H4">
            <v>32</v>
          </cell>
        </row>
        <row r="5">
          <cell r="A5">
            <v>4</v>
          </cell>
          <cell r="B5">
            <v>3</v>
          </cell>
          <cell r="C5">
            <v>0.28789999999999999</v>
          </cell>
          <cell r="D5">
            <v>0.75</v>
          </cell>
          <cell r="E5">
            <v>0</v>
          </cell>
          <cell r="F5">
            <v>3</v>
          </cell>
          <cell r="G5">
            <v>10</v>
          </cell>
          <cell r="H5">
            <v>13</v>
          </cell>
        </row>
        <row r="6">
          <cell r="A6">
            <v>5</v>
          </cell>
          <cell r="B6">
            <v>4</v>
          </cell>
          <cell r="C6">
            <v>0.28789999999999999</v>
          </cell>
          <cell r="D6">
            <v>0.75</v>
          </cell>
          <cell r="E6">
            <v>0</v>
          </cell>
          <cell r="F6">
            <v>0</v>
          </cell>
          <cell r="G6">
            <v>1</v>
          </cell>
          <cell r="H6">
            <v>1</v>
          </cell>
        </row>
        <row r="7">
          <cell r="A7">
            <v>6</v>
          </cell>
          <cell r="B7">
            <v>5</v>
          </cell>
          <cell r="C7">
            <v>0.2576</v>
          </cell>
          <cell r="D7">
            <v>0.75</v>
          </cell>
          <cell r="E7">
            <v>8.9599999999999999E-2</v>
          </cell>
          <cell r="F7">
            <v>0</v>
          </cell>
          <cell r="G7">
            <v>1</v>
          </cell>
          <cell r="H7">
            <v>1</v>
          </cell>
        </row>
        <row r="8">
          <cell r="A8">
            <v>7</v>
          </cell>
          <cell r="B8">
            <v>6</v>
          </cell>
          <cell r="C8">
            <v>0.2727</v>
          </cell>
          <cell r="D8">
            <v>0.8</v>
          </cell>
          <cell r="E8">
            <v>0</v>
          </cell>
          <cell r="F8">
            <v>2</v>
          </cell>
          <cell r="G8">
            <v>0</v>
          </cell>
          <cell r="H8">
            <v>2</v>
          </cell>
        </row>
        <row r="9">
          <cell r="A9">
            <v>8</v>
          </cell>
          <cell r="B9">
            <v>7</v>
          </cell>
          <cell r="C9">
            <v>0.2576</v>
          </cell>
          <cell r="D9">
            <v>0.86</v>
          </cell>
          <cell r="E9">
            <v>0</v>
          </cell>
          <cell r="F9">
            <v>1</v>
          </cell>
          <cell r="G9">
            <v>2</v>
          </cell>
          <cell r="H9">
            <v>3</v>
          </cell>
        </row>
        <row r="10">
          <cell r="A10">
            <v>9</v>
          </cell>
          <cell r="B10">
            <v>8</v>
          </cell>
          <cell r="C10">
            <v>0.19989999999999999</v>
          </cell>
          <cell r="D10">
            <v>0.75</v>
          </cell>
          <cell r="E10">
            <v>0</v>
          </cell>
          <cell r="F10">
            <v>1</v>
          </cell>
          <cell r="G10">
            <v>7</v>
          </cell>
          <cell r="H10">
            <v>8</v>
          </cell>
        </row>
        <row r="11">
          <cell r="A11">
            <v>10</v>
          </cell>
          <cell r="B11">
            <v>9</v>
          </cell>
          <cell r="C11">
            <v>0.34849999999999998</v>
          </cell>
          <cell r="D11">
            <v>0.76</v>
          </cell>
          <cell r="E11">
            <v>0</v>
          </cell>
          <cell r="F11">
            <v>8</v>
          </cell>
          <cell r="G11">
            <v>6</v>
          </cell>
          <cell r="H11">
            <v>14</v>
          </cell>
        </row>
        <row r="12">
          <cell r="A12">
            <v>11</v>
          </cell>
          <cell r="B12">
            <v>10</v>
          </cell>
          <cell r="C12">
            <v>0.39389999999999997</v>
          </cell>
          <cell r="D12">
            <v>0.76</v>
          </cell>
          <cell r="E12">
            <v>0.25369999999999998</v>
          </cell>
          <cell r="F12">
            <v>12</v>
          </cell>
          <cell r="G12">
            <v>24</v>
          </cell>
          <cell r="H12">
            <v>36</v>
          </cell>
        </row>
        <row r="13">
          <cell r="A13">
            <v>12</v>
          </cell>
          <cell r="B13">
            <v>11</v>
          </cell>
          <cell r="C13">
            <v>0.33329999999999999</v>
          </cell>
          <cell r="D13">
            <v>0.81</v>
          </cell>
          <cell r="E13">
            <v>0.28360000000000002</v>
          </cell>
          <cell r="F13">
            <v>26</v>
          </cell>
          <cell r="G13">
            <v>30</v>
          </cell>
          <cell r="H13">
            <v>56</v>
          </cell>
        </row>
        <row r="14">
          <cell r="A14">
            <v>13</v>
          </cell>
          <cell r="B14">
            <v>12</v>
          </cell>
          <cell r="C14">
            <v>0.42420000000000002</v>
          </cell>
          <cell r="D14">
            <v>0.77</v>
          </cell>
          <cell r="E14">
            <v>0.28360000000000002</v>
          </cell>
          <cell r="F14">
            <v>29</v>
          </cell>
          <cell r="G14">
            <v>55</v>
          </cell>
          <cell r="H14">
            <v>84</v>
          </cell>
        </row>
        <row r="15">
          <cell r="A15">
            <v>14</v>
          </cell>
          <cell r="B15">
            <v>13</v>
          </cell>
          <cell r="C15">
            <v>0.45450000000000002</v>
          </cell>
          <cell r="D15">
            <v>0.72</v>
          </cell>
          <cell r="E15">
            <v>0.29849999999999999</v>
          </cell>
          <cell r="F15">
            <v>47</v>
          </cell>
          <cell r="G15">
            <v>47</v>
          </cell>
          <cell r="H15">
            <v>94</v>
          </cell>
        </row>
        <row r="16">
          <cell r="A16">
            <v>15</v>
          </cell>
          <cell r="B16">
            <v>14</v>
          </cell>
          <cell r="C16">
            <v>0.45450000000000002</v>
          </cell>
          <cell r="D16">
            <v>0.72</v>
          </cell>
          <cell r="E16">
            <v>0.28360000000000002</v>
          </cell>
          <cell r="F16">
            <v>35</v>
          </cell>
          <cell r="G16">
            <v>71</v>
          </cell>
          <cell r="H16">
            <v>106</v>
          </cell>
        </row>
        <row r="17">
          <cell r="A17">
            <v>16</v>
          </cell>
          <cell r="B17">
            <v>15</v>
          </cell>
          <cell r="C17">
            <v>0.43940000000000001</v>
          </cell>
          <cell r="D17">
            <v>0.77</v>
          </cell>
          <cell r="E17">
            <v>0.29849999999999999</v>
          </cell>
          <cell r="F17">
            <v>40</v>
          </cell>
          <cell r="G17">
            <v>70</v>
          </cell>
          <cell r="H17">
            <v>110</v>
          </cell>
        </row>
        <row r="18">
          <cell r="A18">
            <v>17</v>
          </cell>
          <cell r="B18">
            <v>16</v>
          </cell>
          <cell r="C18">
            <v>0.42420000000000002</v>
          </cell>
          <cell r="D18">
            <v>0.82</v>
          </cell>
          <cell r="E18">
            <v>0.29849999999999999</v>
          </cell>
          <cell r="F18">
            <v>41</v>
          </cell>
          <cell r="G18">
            <v>52</v>
          </cell>
          <cell r="H18">
            <v>93</v>
          </cell>
        </row>
        <row r="19">
          <cell r="A19">
            <v>18</v>
          </cell>
          <cell r="B19">
            <v>17</v>
          </cell>
          <cell r="C19">
            <v>0.19989999999999999</v>
          </cell>
          <cell r="D19">
            <v>0.82</v>
          </cell>
          <cell r="E19">
            <v>0.28360000000000002</v>
          </cell>
          <cell r="F19">
            <v>15</v>
          </cell>
          <cell r="G19">
            <v>52</v>
          </cell>
          <cell r="H19">
            <v>67</v>
          </cell>
        </row>
        <row r="20">
          <cell r="A20">
            <v>19</v>
          </cell>
          <cell r="B20">
            <v>18</v>
          </cell>
          <cell r="C20">
            <v>0.42420000000000002</v>
          </cell>
          <cell r="D20">
            <v>0.88</v>
          </cell>
          <cell r="E20">
            <v>0.25369999999999998</v>
          </cell>
          <cell r="F20">
            <v>9</v>
          </cell>
          <cell r="G20">
            <v>26</v>
          </cell>
          <cell r="H20">
            <v>35</v>
          </cell>
        </row>
        <row r="21">
          <cell r="A21">
            <v>20</v>
          </cell>
          <cell r="B21">
            <v>19</v>
          </cell>
          <cell r="C21">
            <v>0.42420000000000002</v>
          </cell>
          <cell r="D21">
            <v>0.88</v>
          </cell>
          <cell r="E21">
            <v>0.25369999999999998</v>
          </cell>
          <cell r="F21">
            <v>6</v>
          </cell>
          <cell r="G21">
            <v>31</v>
          </cell>
          <cell r="H21">
            <v>37</v>
          </cell>
        </row>
        <row r="22">
          <cell r="A22">
            <v>21</v>
          </cell>
          <cell r="B22">
            <v>20</v>
          </cell>
          <cell r="C22">
            <v>0.40910000000000002</v>
          </cell>
          <cell r="D22">
            <v>0.87</v>
          </cell>
          <cell r="E22">
            <v>0.25369999999999998</v>
          </cell>
          <cell r="F22">
            <v>11</v>
          </cell>
          <cell r="G22">
            <v>25</v>
          </cell>
          <cell r="H22">
            <v>36</v>
          </cell>
        </row>
        <row r="23">
          <cell r="A23">
            <v>22</v>
          </cell>
          <cell r="B23">
            <v>21</v>
          </cell>
          <cell r="C23">
            <v>0.40910000000000002</v>
          </cell>
          <cell r="D23">
            <v>0.87</v>
          </cell>
          <cell r="E23">
            <v>0.19400000000000001</v>
          </cell>
          <cell r="F23">
            <v>3</v>
          </cell>
          <cell r="G23">
            <v>31</v>
          </cell>
          <cell r="H23">
            <v>34</v>
          </cell>
        </row>
        <row r="24">
          <cell r="A24">
            <v>23</v>
          </cell>
          <cell r="B24">
            <v>22</v>
          </cell>
          <cell r="C24">
            <v>0.40910000000000002</v>
          </cell>
          <cell r="D24">
            <v>0.94</v>
          </cell>
          <cell r="E24">
            <v>0.22389999999999999</v>
          </cell>
          <cell r="F24">
            <v>11</v>
          </cell>
          <cell r="G24">
            <v>17</v>
          </cell>
          <cell r="H24">
            <v>28</v>
          </cell>
        </row>
        <row r="25">
          <cell r="A25">
            <v>24</v>
          </cell>
          <cell r="B25">
            <v>23</v>
          </cell>
          <cell r="C25">
            <v>0.19989999999999999</v>
          </cell>
          <cell r="D25">
            <v>0.88</v>
          </cell>
          <cell r="E25">
            <v>0.29849999999999999</v>
          </cell>
          <cell r="F25">
            <v>15</v>
          </cell>
          <cell r="G25">
            <v>24</v>
          </cell>
          <cell r="H25">
            <v>39</v>
          </cell>
        </row>
        <row r="26">
          <cell r="A26">
            <v>25</v>
          </cell>
          <cell r="B26">
            <v>24</v>
          </cell>
          <cell r="C26">
            <v>0.45450000000000002</v>
          </cell>
          <cell r="D26">
            <v>0.88</v>
          </cell>
          <cell r="E26">
            <v>0.29849999999999999</v>
          </cell>
          <cell r="F26">
            <v>4</v>
          </cell>
          <cell r="G26">
            <v>13</v>
          </cell>
          <cell r="H26">
            <v>17</v>
          </cell>
        </row>
        <row r="27">
          <cell r="A27">
            <v>26</v>
          </cell>
          <cell r="B27">
            <v>25</v>
          </cell>
          <cell r="C27">
            <v>0.43940000000000001</v>
          </cell>
          <cell r="D27">
            <v>0.94</v>
          </cell>
          <cell r="E27">
            <v>0.25369999999999998</v>
          </cell>
          <cell r="F27">
            <v>1</v>
          </cell>
          <cell r="G27">
            <v>16</v>
          </cell>
          <cell r="H27">
            <v>17</v>
          </cell>
        </row>
        <row r="28">
          <cell r="A28">
            <v>27</v>
          </cell>
          <cell r="B28">
            <v>26</v>
          </cell>
          <cell r="C28">
            <v>0.42420000000000002</v>
          </cell>
          <cell r="D28">
            <v>1</v>
          </cell>
          <cell r="E28">
            <v>0.28360000000000002</v>
          </cell>
          <cell r="F28">
            <v>1</v>
          </cell>
          <cell r="G28">
            <v>8</v>
          </cell>
          <cell r="H28">
            <v>9</v>
          </cell>
        </row>
        <row r="29">
          <cell r="A29">
            <v>28</v>
          </cell>
          <cell r="B29">
            <v>27</v>
          </cell>
          <cell r="C29">
            <v>0.45450000000000002</v>
          </cell>
          <cell r="D29">
            <v>0.94</v>
          </cell>
          <cell r="E29">
            <v>0.19400000000000001</v>
          </cell>
          <cell r="F29">
            <v>2</v>
          </cell>
          <cell r="G29">
            <v>4</v>
          </cell>
          <cell r="H29">
            <v>6</v>
          </cell>
        </row>
        <row r="30">
          <cell r="A30">
            <v>29</v>
          </cell>
          <cell r="B30">
            <v>28</v>
          </cell>
          <cell r="C30">
            <v>0.19989999999999999</v>
          </cell>
          <cell r="D30">
            <v>0.94</v>
          </cell>
          <cell r="E30">
            <v>0.19400000000000001</v>
          </cell>
          <cell r="F30">
            <v>2</v>
          </cell>
          <cell r="G30">
            <v>1</v>
          </cell>
          <cell r="H30">
            <v>3</v>
          </cell>
        </row>
        <row r="31">
          <cell r="A31">
            <v>30</v>
          </cell>
          <cell r="B31">
            <v>29</v>
          </cell>
          <cell r="C31">
            <v>0.42420000000000002</v>
          </cell>
          <cell r="D31">
            <v>0.77</v>
          </cell>
          <cell r="E31">
            <v>0.29849999999999999</v>
          </cell>
          <cell r="F31">
            <v>0</v>
          </cell>
          <cell r="G31">
            <v>2</v>
          </cell>
          <cell r="H31">
            <v>2</v>
          </cell>
        </row>
        <row r="32">
          <cell r="A32">
            <v>31</v>
          </cell>
          <cell r="B32">
            <v>30</v>
          </cell>
          <cell r="C32">
            <v>0.40910000000000002</v>
          </cell>
          <cell r="D32">
            <v>0.76</v>
          </cell>
          <cell r="E32">
            <v>0.19400000000000001</v>
          </cell>
          <cell r="F32">
            <v>0</v>
          </cell>
          <cell r="G32">
            <v>1</v>
          </cell>
          <cell r="H32">
            <v>1</v>
          </cell>
        </row>
        <row r="33">
          <cell r="A33">
            <v>32</v>
          </cell>
          <cell r="B33">
            <v>31</v>
          </cell>
          <cell r="C33">
            <v>0.40910000000000002</v>
          </cell>
          <cell r="D33">
            <v>0.71</v>
          </cell>
          <cell r="E33">
            <v>0.22389999999999999</v>
          </cell>
          <cell r="F33">
            <v>0</v>
          </cell>
          <cell r="G33">
            <v>8</v>
          </cell>
          <cell r="H33">
            <v>8</v>
          </cell>
        </row>
        <row r="34">
          <cell r="A34">
            <v>33</v>
          </cell>
          <cell r="B34">
            <v>32</v>
          </cell>
          <cell r="C34">
            <v>0.19989999999999999</v>
          </cell>
          <cell r="D34">
            <v>0.76</v>
          </cell>
          <cell r="E34">
            <v>0.22389999999999999</v>
          </cell>
          <cell r="F34">
            <v>1</v>
          </cell>
          <cell r="G34">
            <v>19</v>
          </cell>
          <cell r="H34">
            <v>20</v>
          </cell>
        </row>
        <row r="35">
          <cell r="A35">
            <v>34</v>
          </cell>
          <cell r="B35">
            <v>33</v>
          </cell>
          <cell r="C35">
            <v>0.34849999999999998</v>
          </cell>
          <cell r="D35">
            <v>0.81</v>
          </cell>
          <cell r="E35">
            <v>0.22389999999999999</v>
          </cell>
          <cell r="F35">
            <v>7</v>
          </cell>
          <cell r="G35">
            <v>46</v>
          </cell>
          <cell r="H35">
            <v>53</v>
          </cell>
        </row>
        <row r="36">
          <cell r="A36">
            <v>35</v>
          </cell>
          <cell r="B36">
            <v>34</v>
          </cell>
          <cell r="C36">
            <v>0.33329999999999999</v>
          </cell>
          <cell r="D36">
            <v>0.71</v>
          </cell>
          <cell r="E36">
            <v>0.25369999999999998</v>
          </cell>
          <cell r="F36">
            <v>16</v>
          </cell>
          <cell r="G36">
            <v>54</v>
          </cell>
          <cell r="H36">
            <v>70</v>
          </cell>
        </row>
        <row r="37">
          <cell r="A37">
            <v>36</v>
          </cell>
          <cell r="B37">
            <v>35</v>
          </cell>
          <cell r="C37">
            <v>0.33329999999999999</v>
          </cell>
          <cell r="D37">
            <v>0.66</v>
          </cell>
          <cell r="E37">
            <v>0.29849999999999999</v>
          </cell>
          <cell r="F37">
            <v>20</v>
          </cell>
          <cell r="G37">
            <v>73</v>
          </cell>
          <cell r="H37">
            <v>93</v>
          </cell>
        </row>
        <row r="38">
          <cell r="A38">
            <v>37</v>
          </cell>
          <cell r="B38">
            <v>36</v>
          </cell>
          <cell r="C38">
            <v>0.34849999999999998</v>
          </cell>
          <cell r="D38">
            <v>0.66</v>
          </cell>
          <cell r="E38">
            <v>0.1343</v>
          </cell>
          <cell r="F38">
            <v>11</v>
          </cell>
          <cell r="G38">
            <v>64</v>
          </cell>
          <cell r="H38">
            <v>75</v>
          </cell>
        </row>
        <row r="39">
          <cell r="A39">
            <v>38</v>
          </cell>
          <cell r="B39">
            <v>37</v>
          </cell>
          <cell r="C39">
            <v>0.19989999999999999</v>
          </cell>
          <cell r="D39">
            <v>0.76</v>
          </cell>
          <cell r="E39">
            <v>0.19400000000000001</v>
          </cell>
          <cell r="F39">
            <v>4</v>
          </cell>
          <cell r="G39">
            <v>55</v>
          </cell>
          <cell r="H39">
            <v>59</v>
          </cell>
        </row>
        <row r="40">
          <cell r="A40">
            <v>39</v>
          </cell>
          <cell r="B40">
            <v>38</v>
          </cell>
          <cell r="C40">
            <v>0.33329999999999999</v>
          </cell>
          <cell r="D40">
            <v>0.81</v>
          </cell>
          <cell r="E40">
            <v>0.16420000000000001</v>
          </cell>
          <cell r="F40">
            <v>19</v>
          </cell>
          <cell r="G40">
            <v>55</v>
          </cell>
          <cell r="H40">
            <v>74</v>
          </cell>
        </row>
        <row r="41">
          <cell r="A41">
            <v>40</v>
          </cell>
          <cell r="B41">
            <v>39</v>
          </cell>
          <cell r="C41">
            <v>0.33329999999999999</v>
          </cell>
          <cell r="D41">
            <v>0.71</v>
          </cell>
          <cell r="E41">
            <v>0.16420000000000001</v>
          </cell>
          <cell r="F41">
            <v>9</v>
          </cell>
          <cell r="G41">
            <v>67</v>
          </cell>
          <cell r="H41">
            <v>76</v>
          </cell>
        </row>
        <row r="42">
          <cell r="A42">
            <v>41</v>
          </cell>
          <cell r="B42">
            <v>40</v>
          </cell>
          <cell r="C42">
            <v>0.33329999999999999</v>
          </cell>
          <cell r="D42">
            <v>0.56999999999999995</v>
          </cell>
          <cell r="E42">
            <v>0.19400000000000001</v>
          </cell>
          <cell r="F42">
            <v>7</v>
          </cell>
          <cell r="G42">
            <v>58</v>
          </cell>
          <cell r="H42">
            <v>65</v>
          </cell>
        </row>
        <row r="43">
          <cell r="A43">
            <v>42</v>
          </cell>
          <cell r="B43">
            <v>41</v>
          </cell>
          <cell r="C43">
            <v>0.33329999999999999</v>
          </cell>
          <cell r="D43">
            <v>0.46</v>
          </cell>
          <cell r="E43">
            <v>0.32840000000000003</v>
          </cell>
          <cell r="F43">
            <v>10</v>
          </cell>
          <cell r="G43">
            <v>43</v>
          </cell>
          <cell r="H43">
            <v>53</v>
          </cell>
        </row>
        <row r="44">
          <cell r="A44">
            <v>43</v>
          </cell>
          <cell r="B44">
            <v>42</v>
          </cell>
          <cell r="C44">
            <v>0.28789999999999999</v>
          </cell>
          <cell r="D44">
            <v>0.42</v>
          </cell>
          <cell r="E44">
            <v>0.44779999999999998</v>
          </cell>
          <cell r="F44">
            <v>1</v>
          </cell>
          <cell r="G44">
            <v>29</v>
          </cell>
          <cell r="H44">
            <v>30</v>
          </cell>
        </row>
        <row r="45">
          <cell r="A45">
            <v>44</v>
          </cell>
          <cell r="B45">
            <v>43</v>
          </cell>
          <cell r="C45">
            <v>0.19989999999999999</v>
          </cell>
          <cell r="D45">
            <v>0.39</v>
          </cell>
          <cell r="E45">
            <v>0.35820000000000002</v>
          </cell>
          <cell r="F45">
            <v>5</v>
          </cell>
          <cell r="G45">
            <v>17</v>
          </cell>
          <cell r="H45">
            <v>22</v>
          </cell>
        </row>
        <row r="46">
          <cell r="A46">
            <v>45</v>
          </cell>
          <cell r="B46">
            <v>44</v>
          </cell>
          <cell r="C46">
            <v>0.2273</v>
          </cell>
          <cell r="D46">
            <v>0.44</v>
          </cell>
          <cell r="E46">
            <v>0.32840000000000003</v>
          </cell>
          <cell r="F46">
            <v>11</v>
          </cell>
          <cell r="G46">
            <v>20</v>
          </cell>
          <cell r="H46">
            <v>31</v>
          </cell>
        </row>
        <row r="47">
          <cell r="A47">
            <v>46</v>
          </cell>
          <cell r="B47">
            <v>45</v>
          </cell>
          <cell r="C47">
            <v>0.21210000000000001</v>
          </cell>
          <cell r="D47">
            <v>0.44</v>
          </cell>
          <cell r="E47">
            <v>0.29849999999999999</v>
          </cell>
          <cell r="F47">
            <v>0</v>
          </cell>
          <cell r="G47">
            <v>9</v>
          </cell>
          <cell r="H47">
            <v>9</v>
          </cell>
        </row>
        <row r="48">
          <cell r="A48">
            <v>47</v>
          </cell>
          <cell r="B48">
            <v>46</v>
          </cell>
          <cell r="C48">
            <v>0.2273</v>
          </cell>
          <cell r="D48">
            <v>0.47</v>
          </cell>
          <cell r="E48">
            <v>0.16420000000000001</v>
          </cell>
          <cell r="F48">
            <v>0</v>
          </cell>
          <cell r="G48">
            <v>8</v>
          </cell>
          <cell r="H48">
            <v>8</v>
          </cell>
        </row>
        <row r="49">
          <cell r="A49">
            <v>48</v>
          </cell>
          <cell r="B49">
            <v>47</v>
          </cell>
          <cell r="C49">
            <v>0.19700000000000001</v>
          </cell>
          <cell r="D49">
            <v>0.44</v>
          </cell>
          <cell r="E49">
            <v>0.35820000000000002</v>
          </cell>
          <cell r="F49">
            <v>0</v>
          </cell>
          <cell r="G49">
            <v>5</v>
          </cell>
          <cell r="H49">
            <v>5</v>
          </cell>
        </row>
        <row r="50">
          <cell r="A50">
            <v>49</v>
          </cell>
          <cell r="B50">
            <v>48</v>
          </cell>
          <cell r="C50">
            <v>0.19989999999999999</v>
          </cell>
          <cell r="D50">
            <v>0.44</v>
          </cell>
          <cell r="E50">
            <v>0.41789999999999999</v>
          </cell>
          <cell r="F50">
            <v>0</v>
          </cell>
          <cell r="G50">
            <v>2</v>
          </cell>
          <cell r="H50">
            <v>2</v>
          </cell>
        </row>
        <row r="51">
          <cell r="A51">
            <v>50</v>
          </cell>
          <cell r="B51">
            <v>49</v>
          </cell>
          <cell r="C51">
            <v>0.13639999999999999</v>
          </cell>
          <cell r="D51">
            <v>0.47</v>
          </cell>
          <cell r="E51">
            <v>0.3881</v>
          </cell>
          <cell r="F51">
            <v>0</v>
          </cell>
          <cell r="G51">
            <v>1</v>
          </cell>
          <cell r="H51">
            <v>1</v>
          </cell>
        </row>
        <row r="52">
          <cell r="A52">
            <v>51</v>
          </cell>
          <cell r="B52">
            <v>50</v>
          </cell>
          <cell r="C52">
            <v>0.13639999999999999</v>
          </cell>
          <cell r="D52">
            <v>0.47</v>
          </cell>
          <cell r="E52">
            <v>0.28360000000000002</v>
          </cell>
          <cell r="F52">
            <v>0</v>
          </cell>
          <cell r="G52">
            <v>3</v>
          </cell>
          <cell r="H52">
            <v>3</v>
          </cell>
        </row>
        <row r="53">
          <cell r="A53">
            <v>52</v>
          </cell>
          <cell r="B53">
            <v>51</v>
          </cell>
          <cell r="C53">
            <v>0.1061</v>
          </cell>
          <cell r="D53">
            <v>0.5</v>
          </cell>
          <cell r="E53">
            <v>0.3881</v>
          </cell>
          <cell r="F53">
            <v>0</v>
          </cell>
          <cell r="G53">
            <v>30</v>
          </cell>
          <cell r="H53">
            <v>30</v>
          </cell>
        </row>
        <row r="54">
          <cell r="A54">
            <v>53</v>
          </cell>
          <cell r="B54">
            <v>52</v>
          </cell>
          <cell r="C54">
            <v>0.13639999999999999</v>
          </cell>
          <cell r="D54">
            <v>0.5</v>
          </cell>
          <cell r="E54">
            <v>0.19400000000000001</v>
          </cell>
          <cell r="F54">
            <v>1</v>
          </cell>
          <cell r="G54">
            <v>63</v>
          </cell>
          <cell r="H54">
            <v>64</v>
          </cell>
        </row>
        <row r="55">
          <cell r="A55">
            <v>54</v>
          </cell>
          <cell r="B55">
            <v>53</v>
          </cell>
          <cell r="C55">
            <v>0.1212</v>
          </cell>
          <cell r="D55">
            <v>0.5</v>
          </cell>
          <cell r="E55">
            <v>0.28360000000000002</v>
          </cell>
          <cell r="F55">
            <v>1</v>
          </cell>
          <cell r="G55">
            <v>153</v>
          </cell>
          <cell r="H55">
            <v>154</v>
          </cell>
        </row>
        <row r="56">
          <cell r="A56">
            <v>55</v>
          </cell>
          <cell r="B56">
            <v>54</v>
          </cell>
          <cell r="C56">
            <v>0.13639999999999999</v>
          </cell>
          <cell r="D56">
            <v>0.43</v>
          </cell>
          <cell r="E56">
            <v>0.3881</v>
          </cell>
          <cell r="F56">
            <v>7</v>
          </cell>
          <cell r="G56">
            <v>81</v>
          </cell>
          <cell r="H56">
            <v>88</v>
          </cell>
        </row>
        <row r="57">
          <cell r="A57">
            <v>56</v>
          </cell>
          <cell r="B57">
            <v>55</v>
          </cell>
          <cell r="C57">
            <v>0.16669999999999999</v>
          </cell>
          <cell r="D57">
            <v>0.43</v>
          </cell>
          <cell r="E57">
            <v>0.25369999999999998</v>
          </cell>
          <cell r="F57">
            <v>11</v>
          </cell>
          <cell r="G57">
            <v>33</v>
          </cell>
          <cell r="H57">
            <v>44</v>
          </cell>
        </row>
        <row r="58">
          <cell r="A58">
            <v>57</v>
          </cell>
          <cell r="B58">
            <v>56</v>
          </cell>
          <cell r="C58">
            <v>0.18179999999999999</v>
          </cell>
          <cell r="D58">
            <v>0.4</v>
          </cell>
          <cell r="E58">
            <v>0.32840000000000003</v>
          </cell>
          <cell r="F58">
            <v>10</v>
          </cell>
          <cell r="G58">
            <v>41</v>
          </cell>
          <cell r="H58">
            <v>51</v>
          </cell>
        </row>
        <row r="59">
          <cell r="A59">
            <v>58</v>
          </cell>
          <cell r="B59">
            <v>57</v>
          </cell>
          <cell r="C59">
            <v>0.21210000000000001</v>
          </cell>
          <cell r="D59">
            <v>0.35</v>
          </cell>
          <cell r="E59">
            <v>0.29849999999999999</v>
          </cell>
          <cell r="F59">
            <v>13</v>
          </cell>
          <cell r="G59">
            <v>48</v>
          </cell>
          <cell r="H59">
            <v>61</v>
          </cell>
        </row>
        <row r="60">
          <cell r="A60">
            <v>59</v>
          </cell>
          <cell r="B60">
            <v>58</v>
          </cell>
          <cell r="C60">
            <v>0.19989999999999999</v>
          </cell>
          <cell r="D60">
            <v>0.35</v>
          </cell>
          <cell r="E60">
            <v>0.28360000000000002</v>
          </cell>
          <cell r="F60">
            <v>8</v>
          </cell>
          <cell r="G60">
            <v>53</v>
          </cell>
          <cell r="H60">
            <v>61</v>
          </cell>
        </row>
        <row r="61">
          <cell r="A61">
            <v>60</v>
          </cell>
          <cell r="B61">
            <v>59</v>
          </cell>
          <cell r="C61">
            <v>0.2424</v>
          </cell>
          <cell r="D61">
            <v>0.3</v>
          </cell>
          <cell r="E61">
            <v>0.28360000000000002</v>
          </cell>
          <cell r="F61">
            <v>11</v>
          </cell>
          <cell r="G61">
            <v>66</v>
          </cell>
          <cell r="H61">
            <v>77</v>
          </cell>
        </row>
        <row r="62">
          <cell r="A62">
            <v>61</v>
          </cell>
          <cell r="B62">
            <v>60</v>
          </cell>
          <cell r="C62">
            <v>0.2424</v>
          </cell>
          <cell r="D62">
            <v>0.3</v>
          </cell>
          <cell r="E62">
            <v>0.25369999999999998</v>
          </cell>
          <cell r="F62">
            <v>14</v>
          </cell>
          <cell r="G62">
            <v>58</v>
          </cell>
          <cell r="H62">
            <v>72</v>
          </cell>
        </row>
        <row r="63">
          <cell r="A63">
            <v>62</v>
          </cell>
          <cell r="B63">
            <v>61</v>
          </cell>
          <cell r="C63">
            <v>0.2424</v>
          </cell>
          <cell r="D63">
            <v>0.3</v>
          </cell>
          <cell r="E63">
            <v>0.25369999999999998</v>
          </cell>
          <cell r="F63">
            <v>9</v>
          </cell>
          <cell r="G63">
            <v>67</v>
          </cell>
          <cell r="H63">
            <v>76</v>
          </cell>
        </row>
        <row r="64">
          <cell r="A64">
            <v>63</v>
          </cell>
          <cell r="B64">
            <v>62</v>
          </cell>
          <cell r="C64">
            <v>0.2273</v>
          </cell>
          <cell r="D64">
            <v>0.3</v>
          </cell>
          <cell r="E64">
            <v>0.22389999999999999</v>
          </cell>
          <cell r="F64">
            <v>11</v>
          </cell>
          <cell r="G64">
            <v>146</v>
          </cell>
          <cell r="H64">
            <v>157</v>
          </cell>
        </row>
        <row r="65">
          <cell r="A65">
            <v>64</v>
          </cell>
          <cell r="B65">
            <v>63</v>
          </cell>
          <cell r="C65">
            <v>0.2576</v>
          </cell>
          <cell r="D65">
            <v>0.32</v>
          </cell>
          <cell r="E65">
            <v>0.1045</v>
          </cell>
          <cell r="F65">
            <v>9</v>
          </cell>
          <cell r="G65">
            <v>148</v>
          </cell>
          <cell r="H65">
            <v>157</v>
          </cell>
        </row>
        <row r="66">
          <cell r="A66">
            <v>65</v>
          </cell>
          <cell r="B66">
            <v>64</v>
          </cell>
          <cell r="C66">
            <v>0.2576</v>
          </cell>
          <cell r="D66">
            <v>0.47</v>
          </cell>
          <cell r="E66">
            <v>0</v>
          </cell>
          <cell r="F66">
            <v>8</v>
          </cell>
          <cell r="G66">
            <v>102</v>
          </cell>
          <cell r="H66">
            <v>110</v>
          </cell>
        </row>
        <row r="67">
          <cell r="A67">
            <v>66</v>
          </cell>
          <cell r="B67">
            <v>65</v>
          </cell>
          <cell r="C67">
            <v>0.19989999999999999</v>
          </cell>
          <cell r="D67">
            <v>0.47</v>
          </cell>
          <cell r="E67">
            <v>0.1045</v>
          </cell>
          <cell r="F67">
            <v>3</v>
          </cell>
          <cell r="G67">
            <v>49</v>
          </cell>
          <cell r="H67">
            <v>52</v>
          </cell>
        </row>
        <row r="68">
          <cell r="A68">
            <v>67</v>
          </cell>
          <cell r="B68">
            <v>66</v>
          </cell>
          <cell r="C68">
            <v>0.19700000000000001</v>
          </cell>
          <cell r="D68">
            <v>0.64</v>
          </cell>
          <cell r="E68">
            <v>0.1343</v>
          </cell>
          <cell r="F68">
            <v>3</v>
          </cell>
          <cell r="G68">
            <v>49</v>
          </cell>
          <cell r="H68">
            <v>52</v>
          </cell>
        </row>
        <row r="69">
          <cell r="A69">
            <v>68</v>
          </cell>
          <cell r="B69">
            <v>67</v>
          </cell>
          <cell r="C69">
            <v>0.1515</v>
          </cell>
          <cell r="D69">
            <v>0.69</v>
          </cell>
          <cell r="E69">
            <v>0.1343</v>
          </cell>
          <cell r="F69">
            <v>0</v>
          </cell>
          <cell r="G69">
            <v>20</v>
          </cell>
          <cell r="H69">
            <v>20</v>
          </cell>
        </row>
        <row r="70">
          <cell r="A70">
            <v>69</v>
          </cell>
          <cell r="B70">
            <v>68</v>
          </cell>
          <cell r="C70">
            <v>0.21210000000000001</v>
          </cell>
          <cell r="D70">
            <v>0.55000000000000004</v>
          </cell>
          <cell r="E70">
            <v>0.1045</v>
          </cell>
          <cell r="F70">
            <v>1</v>
          </cell>
          <cell r="G70">
            <v>11</v>
          </cell>
          <cell r="H70">
            <v>12</v>
          </cell>
        </row>
        <row r="71">
          <cell r="A71">
            <v>70</v>
          </cell>
          <cell r="B71">
            <v>69</v>
          </cell>
          <cell r="C71">
            <v>0.19989999999999999</v>
          </cell>
          <cell r="D71">
            <v>0.55000000000000004</v>
          </cell>
          <cell r="E71">
            <v>0.1045</v>
          </cell>
          <cell r="F71">
            <v>0</v>
          </cell>
          <cell r="G71">
            <v>5</v>
          </cell>
          <cell r="H71">
            <v>5</v>
          </cell>
        </row>
        <row r="72">
          <cell r="A72">
            <v>71</v>
          </cell>
          <cell r="B72">
            <v>70</v>
          </cell>
          <cell r="C72">
            <v>0.18179999999999999</v>
          </cell>
          <cell r="D72">
            <v>0.59</v>
          </cell>
          <cell r="E72">
            <v>0.1045</v>
          </cell>
          <cell r="F72">
            <v>0</v>
          </cell>
          <cell r="G72">
            <v>2</v>
          </cell>
          <cell r="H72">
            <v>2</v>
          </cell>
        </row>
        <row r="73">
          <cell r="A73">
            <v>72</v>
          </cell>
          <cell r="B73">
            <v>71</v>
          </cell>
          <cell r="C73">
            <v>0.1515</v>
          </cell>
          <cell r="D73">
            <v>0.63</v>
          </cell>
          <cell r="E73">
            <v>0.1343</v>
          </cell>
          <cell r="F73">
            <v>0</v>
          </cell>
          <cell r="G73">
            <v>1</v>
          </cell>
          <cell r="H73">
            <v>1</v>
          </cell>
        </row>
        <row r="74">
          <cell r="A74">
            <v>73</v>
          </cell>
          <cell r="B74">
            <v>72</v>
          </cell>
          <cell r="C74">
            <v>0.18179999999999999</v>
          </cell>
          <cell r="D74">
            <v>0.63</v>
          </cell>
          <cell r="E74">
            <v>8.9599999999999999E-2</v>
          </cell>
          <cell r="F74">
            <v>0</v>
          </cell>
          <cell r="G74">
            <v>2</v>
          </cell>
          <cell r="H74">
            <v>2</v>
          </cell>
        </row>
        <row r="75">
          <cell r="A75">
            <v>74</v>
          </cell>
          <cell r="B75">
            <v>73</v>
          </cell>
          <cell r="C75">
            <v>0.1515</v>
          </cell>
          <cell r="D75">
            <v>0.68</v>
          </cell>
          <cell r="E75">
            <v>0.1045</v>
          </cell>
          <cell r="F75">
            <v>0</v>
          </cell>
          <cell r="G75">
            <v>4</v>
          </cell>
          <cell r="H75">
            <v>4</v>
          </cell>
        </row>
        <row r="76">
          <cell r="A76">
            <v>75</v>
          </cell>
          <cell r="B76">
            <v>74</v>
          </cell>
          <cell r="C76">
            <v>0.1515</v>
          </cell>
          <cell r="D76">
            <v>0.74</v>
          </cell>
          <cell r="E76">
            <v>0.1045</v>
          </cell>
          <cell r="F76">
            <v>0</v>
          </cell>
          <cell r="G76">
            <v>36</v>
          </cell>
          <cell r="H76">
            <v>36</v>
          </cell>
        </row>
        <row r="77">
          <cell r="A77">
            <v>76</v>
          </cell>
          <cell r="B77">
            <v>75</v>
          </cell>
          <cell r="C77">
            <v>0.1515</v>
          </cell>
          <cell r="D77">
            <v>0.74</v>
          </cell>
          <cell r="E77">
            <v>0.1343</v>
          </cell>
          <cell r="F77">
            <v>2</v>
          </cell>
          <cell r="G77">
            <v>92</v>
          </cell>
          <cell r="H77">
            <v>94</v>
          </cell>
        </row>
        <row r="78">
          <cell r="A78">
            <v>77</v>
          </cell>
          <cell r="B78">
            <v>76</v>
          </cell>
          <cell r="C78">
            <v>0.1515</v>
          </cell>
          <cell r="D78">
            <v>0.69</v>
          </cell>
          <cell r="E78">
            <v>0.16420000000000001</v>
          </cell>
          <cell r="F78">
            <v>2</v>
          </cell>
          <cell r="G78">
            <v>177</v>
          </cell>
          <cell r="H78">
            <v>179</v>
          </cell>
        </row>
        <row r="79">
          <cell r="A79">
            <v>78</v>
          </cell>
          <cell r="B79">
            <v>77</v>
          </cell>
          <cell r="C79">
            <v>0.1515</v>
          </cell>
          <cell r="D79">
            <v>0.64</v>
          </cell>
          <cell r="E79">
            <v>0.22389999999999999</v>
          </cell>
          <cell r="F79">
            <v>2</v>
          </cell>
          <cell r="G79">
            <v>98</v>
          </cell>
          <cell r="H79">
            <v>100</v>
          </cell>
        </row>
        <row r="80">
          <cell r="A80">
            <v>79</v>
          </cell>
          <cell r="B80">
            <v>78</v>
          </cell>
          <cell r="C80">
            <v>0.13639999999999999</v>
          </cell>
          <cell r="D80">
            <v>0.69</v>
          </cell>
          <cell r="E80">
            <v>0.32840000000000003</v>
          </cell>
          <cell r="F80">
            <v>5</v>
          </cell>
          <cell r="G80">
            <v>37</v>
          </cell>
          <cell r="H80">
            <v>42</v>
          </cell>
        </row>
        <row r="81">
          <cell r="A81">
            <v>80</v>
          </cell>
          <cell r="B81">
            <v>79</v>
          </cell>
          <cell r="C81">
            <v>0.21210000000000001</v>
          </cell>
          <cell r="D81">
            <v>0.51</v>
          </cell>
          <cell r="E81">
            <v>0.29849999999999999</v>
          </cell>
          <cell r="F81">
            <v>7</v>
          </cell>
          <cell r="G81">
            <v>50</v>
          </cell>
          <cell r="H81">
            <v>57</v>
          </cell>
        </row>
        <row r="82">
          <cell r="A82">
            <v>81</v>
          </cell>
          <cell r="B82">
            <v>80</v>
          </cell>
          <cell r="C82">
            <v>0.2273</v>
          </cell>
          <cell r="D82">
            <v>0.51</v>
          </cell>
          <cell r="E82">
            <v>0.16420000000000001</v>
          </cell>
          <cell r="F82">
            <v>12</v>
          </cell>
          <cell r="G82">
            <v>66</v>
          </cell>
          <cell r="H82">
            <v>78</v>
          </cell>
        </row>
        <row r="83">
          <cell r="A83">
            <v>82</v>
          </cell>
          <cell r="B83">
            <v>81</v>
          </cell>
          <cell r="C83">
            <v>0.2273</v>
          </cell>
          <cell r="D83">
            <v>0.56000000000000005</v>
          </cell>
          <cell r="E83">
            <v>0.19400000000000001</v>
          </cell>
          <cell r="F83">
            <v>18</v>
          </cell>
          <cell r="G83">
            <v>79</v>
          </cell>
          <cell r="H83">
            <v>97</v>
          </cell>
        </row>
        <row r="84">
          <cell r="A84">
            <v>83</v>
          </cell>
          <cell r="B84">
            <v>82</v>
          </cell>
          <cell r="C84">
            <v>0.2576</v>
          </cell>
          <cell r="D84">
            <v>0.52</v>
          </cell>
          <cell r="E84">
            <v>0.22389999999999999</v>
          </cell>
          <cell r="F84">
            <v>9</v>
          </cell>
          <cell r="G84">
            <v>54</v>
          </cell>
          <cell r="H84">
            <v>63</v>
          </cell>
        </row>
        <row r="85">
          <cell r="A85">
            <v>84</v>
          </cell>
          <cell r="B85">
            <v>83</v>
          </cell>
          <cell r="C85">
            <v>0.2727</v>
          </cell>
          <cell r="D85">
            <v>0.52</v>
          </cell>
          <cell r="E85">
            <v>0.25369999999999998</v>
          </cell>
          <cell r="F85">
            <v>17</v>
          </cell>
          <cell r="G85">
            <v>48</v>
          </cell>
          <cell r="H85">
            <v>65</v>
          </cell>
        </row>
        <row r="86">
          <cell r="A86">
            <v>85</v>
          </cell>
          <cell r="B86">
            <v>84</v>
          </cell>
          <cell r="C86">
            <v>0.28789999999999999</v>
          </cell>
          <cell r="D86">
            <v>0.49</v>
          </cell>
          <cell r="E86">
            <v>0.25369999999999998</v>
          </cell>
          <cell r="F86">
            <v>15</v>
          </cell>
          <cell r="G86">
            <v>68</v>
          </cell>
          <cell r="H86">
            <v>83</v>
          </cell>
        </row>
        <row r="87">
          <cell r="A87">
            <v>86</v>
          </cell>
          <cell r="B87">
            <v>85</v>
          </cell>
          <cell r="C87">
            <v>0.2727</v>
          </cell>
          <cell r="D87">
            <v>0.48</v>
          </cell>
          <cell r="E87">
            <v>0.22389999999999999</v>
          </cell>
          <cell r="F87">
            <v>10</v>
          </cell>
          <cell r="G87">
            <v>202</v>
          </cell>
          <cell r="H87">
            <v>212</v>
          </cell>
        </row>
        <row r="88">
          <cell r="A88">
            <v>87</v>
          </cell>
          <cell r="B88">
            <v>86</v>
          </cell>
          <cell r="C88">
            <v>0.2576</v>
          </cell>
          <cell r="D88">
            <v>0.48</v>
          </cell>
          <cell r="E88">
            <v>0.19400000000000001</v>
          </cell>
          <cell r="F88">
            <v>3</v>
          </cell>
          <cell r="G88">
            <v>179</v>
          </cell>
          <cell r="H88">
            <v>182</v>
          </cell>
        </row>
        <row r="89">
          <cell r="A89">
            <v>88</v>
          </cell>
          <cell r="B89">
            <v>87</v>
          </cell>
          <cell r="C89">
            <v>0.2576</v>
          </cell>
          <cell r="D89">
            <v>0.48</v>
          </cell>
          <cell r="E89">
            <v>0.1045</v>
          </cell>
          <cell r="F89">
            <v>2</v>
          </cell>
          <cell r="G89">
            <v>110</v>
          </cell>
          <cell r="H89">
            <v>112</v>
          </cell>
        </row>
        <row r="90">
          <cell r="A90">
            <v>89</v>
          </cell>
          <cell r="B90">
            <v>88</v>
          </cell>
          <cell r="C90">
            <v>0.2576</v>
          </cell>
          <cell r="D90">
            <v>0.48</v>
          </cell>
          <cell r="E90">
            <v>0.1045</v>
          </cell>
          <cell r="F90">
            <v>1</v>
          </cell>
          <cell r="G90">
            <v>53</v>
          </cell>
          <cell r="H90">
            <v>54</v>
          </cell>
        </row>
        <row r="91">
          <cell r="A91">
            <v>90</v>
          </cell>
          <cell r="B91">
            <v>89</v>
          </cell>
          <cell r="C91">
            <v>0.2727</v>
          </cell>
          <cell r="D91">
            <v>0.64</v>
          </cell>
          <cell r="E91">
            <v>0</v>
          </cell>
          <cell r="F91">
            <v>0</v>
          </cell>
          <cell r="G91">
            <v>48</v>
          </cell>
          <cell r="H91">
            <v>48</v>
          </cell>
        </row>
        <row r="92">
          <cell r="A92">
            <v>91</v>
          </cell>
          <cell r="B92">
            <v>90</v>
          </cell>
          <cell r="C92">
            <v>0.2576</v>
          </cell>
          <cell r="D92">
            <v>0.64</v>
          </cell>
          <cell r="E92">
            <v>8.9599999999999999E-2</v>
          </cell>
          <cell r="F92">
            <v>1</v>
          </cell>
          <cell r="G92">
            <v>34</v>
          </cell>
          <cell r="H92">
            <v>35</v>
          </cell>
        </row>
        <row r="93">
          <cell r="A93">
            <v>92</v>
          </cell>
          <cell r="B93">
            <v>91</v>
          </cell>
          <cell r="C93">
            <v>0.2273</v>
          </cell>
          <cell r="D93">
            <v>0.69</v>
          </cell>
          <cell r="E93">
            <v>8.9599999999999999E-2</v>
          </cell>
          <cell r="F93">
            <v>2</v>
          </cell>
          <cell r="G93">
            <v>9</v>
          </cell>
          <cell r="H93">
            <v>11</v>
          </cell>
        </row>
        <row r="94">
          <cell r="A94">
            <v>93</v>
          </cell>
          <cell r="B94">
            <v>92</v>
          </cell>
          <cell r="C94">
            <v>0.2576</v>
          </cell>
          <cell r="D94">
            <v>0.64</v>
          </cell>
          <cell r="E94">
            <v>0</v>
          </cell>
          <cell r="F94">
            <v>0</v>
          </cell>
          <cell r="G94">
            <v>6</v>
          </cell>
          <cell r="H94">
            <v>6</v>
          </cell>
        </row>
        <row r="95">
          <cell r="A95">
            <v>94</v>
          </cell>
          <cell r="B95">
            <v>93</v>
          </cell>
          <cell r="C95">
            <v>0.19700000000000001</v>
          </cell>
          <cell r="D95">
            <v>0.74</v>
          </cell>
          <cell r="E95">
            <v>8.9599999999999999E-2</v>
          </cell>
          <cell r="F95">
            <v>0</v>
          </cell>
          <cell r="G95">
            <v>6</v>
          </cell>
          <cell r="H95">
            <v>6</v>
          </cell>
        </row>
        <row r="96">
          <cell r="A96">
            <v>95</v>
          </cell>
          <cell r="B96">
            <v>94</v>
          </cell>
          <cell r="C96">
            <v>0.19700000000000001</v>
          </cell>
          <cell r="D96">
            <v>0.74</v>
          </cell>
          <cell r="E96">
            <v>8.9599999999999999E-2</v>
          </cell>
          <cell r="F96">
            <v>0</v>
          </cell>
          <cell r="G96">
            <v>2</v>
          </cell>
          <cell r="H96">
            <v>2</v>
          </cell>
        </row>
        <row r="97">
          <cell r="A97">
            <v>96</v>
          </cell>
          <cell r="B97">
            <v>95</v>
          </cell>
          <cell r="C97">
            <v>0.2273</v>
          </cell>
          <cell r="D97">
            <v>0.48</v>
          </cell>
          <cell r="E97">
            <v>0.22389999999999999</v>
          </cell>
          <cell r="F97">
            <v>0</v>
          </cell>
          <cell r="G97">
            <v>2</v>
          </cell>
          <cell r="H97">
            <v>2</v>
          </cell>
        </row>
        <row r="98">
          <cell r="A98">
            <v>97</v>
          </cell>
          <cell r="B98">
            <v>96</v>
          </cell>
          <cell r="C98">
            <v>0.2273</v>
          </cell>
          <cell r="D98">
            <v>0.47</v>
          </cell>
          <cell r="E98">
            <v>0.16420000000000001</v>
          </cell>
          <cell r="F98">
            <v>0</v>
          </cell>
          <cell r="G98">
            <v>3</v>
          </cell>
          <cell r="H98">
            <v>3</v>
          </cell>
        </row>
        <row r="99">
          <cell r="A99">
            <v>98</v>
          </cell>
          <cell r="B99">
            <v>97</v>
          </cell>
          <cell r="C99">
            <v>0.19700000000000001</v>
          </cell>
          <cell r="D99">
            <v>0.47</v>
          </cell>
          <cell r="E99">
            <v>0.22389999999999999</v>
          </cell>
          <cell r="F99">
            <v>0</v>
          </cell>
          <cell r="G99">
            <v>33</v>
          </cell>
          <cell r="H99">
            <v>33</v>
          </cell>
        </row>
        <row r="100">
          <cell r="A100">
            <v>99</v>
          </cell>
          <cell r="B100">
            <v>98</v>
          </cell>
          <cell r="C100">
            <v>0.18179999999999999</v>
          </cell>
          <cell r="D100">
            <v>0.43</v>
          </cell>
          <cell r="E100">
            <v>0.19400000000000001</v>
          </cell>
          <cell r="F100">
            <v>1</v>
          </cell>
          <cell r="G100">
            <v>87</v>
          </cell>
          <cell r="H100">
            <v>88</v>
          </cell>
        </row>
        <row r="101">
          <cell r="A101">
            <v>100</v>
          </cell>
          <cell r="B101">
            <v>99</v>
          </cell>
          <cell r="C101">
            <v>0.18179999999999999</v>
          </cell>
          <cell r="D101">
            <v>0.4</v>
          </cell>
          <cell r="E101">
            <v>0.29849999999999999</v>
          </cell>
          <cell r="F101">
            <v>3</v>
          </cell>
          <cell r="G101">
            <v>192</v>
          </cell>
          <cell r="H101">
            <v>195</v>
          </cell>
        </row>
        <row r="102">
          <cell r="A102">
            <v>101</v>
          </cell>
          <cell r="B102">
            <v>100</v>
          </cell>
          <cell r="C102">
            <v>0.19700000000000001</v>
          </cell>
          <cell r="D102">
            <v>0.37</v>
          </cell>
          <cell r="E102">
            <v>0.32840000000000003</v>
          </cell>
          <cell r="F102">
            <v>6</v>
          </cell>
          <cell r="G102">
            <v>109</v>
          </cell>
          <cell r="H102">
            <v>115</v>
          </cell>
        </row>
        <row r="103">
          <cell r="A103">
            <v>102</v>
          </cell>
          <cell r="B103">
            <v>101</v>
          </cell>
          <cell r="C103">
            <v>0.19700000000000001</v>
          </cell>
          <cell r="D103">
            <v>0.37</v>
          </cell>
          <cell r="E103">
            <v>0.32840000000000003</v>
          </cell>
          <cell r="F103">
            <v>4</v>
          </cell>
          <cell r="G103">
            <v>53</v>
          </cell>
          <cell r="H103">
            <v>57</v>
          </cell>
        </row>
        <row r="104">
          <cell r="A104">
            <v>103</v>
          </cell>
          <cell r="B104">
            <v>102</v>
          </cell>
          <cell r="C104">
            <v>0.2273</v>
          </cell>
          <cell r="D104">
            <v>0.33</v>
          </cell>
          <cell r="E104">
            <v>0.32840000000000003</v>
          </cell>
          <cell r="F104">
            <v>12</v>
          </cell>
          <cell r="G104">
            <v>34</v>
          </cell>
          <cell r="H104">
            <v>46</v>
          </cell>
        </row>
        <row r="105">
          <cell r="A105">
            <v>104</v>
          </cell>
          <cell r="B105">
            <v>103</v>
          </cell>
          <cell r="C105">
            <v>0.2273</v>
          </cell>
          <cell r="D105">
            <v>0.33</v>
          </cell>
          <cell r="E105">
            <v>0.32840000000000003</v>
          </cell>
          <cell r="F105">
            <v>5</v>
          </cell>
          <cell r="G105">
            <v>74</v>
          </cell>
          <cell r="H105">
            <v>79</v>
          </cell>
        </row>
        <row r="106">
          <cell r="A106">
            <v>105</v>
          </cell>
          <cell r="B106">
            <v>104</v>
          </cell>
          <cell r="C106">
            <v>0.2576</v>
          </cell>
          <cell r="D106">
            <v>0.3</v>
          </cell>
          <cell r="E106">
            <v>0.29849999999999999</v>
          </cell>
          <cell r="F106">
            <v>6</v>
          </cell>
          <cell r="G106">
            <v>65</v>
          </cell>
          <cell r="H106">
            <v>71</v>
          </cell>
        </row>
        <row r="107">
          <cell r="A107">
            <v>106</v>
          </cell>
          <cell r="B107">
            <v>105</v>
          </cell>
          <cell r="C107">
            <v>0.28789999999999999</v>
          </cell>
          <cell r="D107">
            <v>0.28000000000000003</v>
          </cell>
          <cell r="E107">
            <v>0.19400000000000001</v>
          </cell>
          <cell r="F107">
            <v>10</v>
          </cell>
          <cell r="G107">
            <v>52</v>
          </cell>
          <cell r="H107">
            <v>62</v>
          </cell>
        </row>
        <row r="108">
          <cell r="A108">
            <v>107</v>
          </cell>
          <cell r="B108">
            <v>106</v>
          </cell>
          <cell r="C108">
            <v>0.28789999999999999</v>
          </cell>
          <cell r="D108">
            <v>0.28000000000000003</v>
          </cell>
          <cell r="E108">
            <v>0.19400000000000001</v>
          </cell>
          <cell r="F108">
            <v>7</v>
          </cell>
          <cell r="G108">
            <v>55</v>
          </cell>
          <cell r="H108">
            <v>62</v>
          </cell>
        </row>
        <row r="109">
          <cell r="A109">
            <v>108</v>
          </cell>
          <cell r="B109">
            <v>107</v>
          </cell>
          <cell r="C109">
            <v>0.31819999999999998</v>
          </cell>
          <cell r="D109">
            <v>0.28000000000000003</v>
          </cell>
          <cell r="E109">
            <v>8.9599999999999999E-2</v>
          </cell>
          <cell r="F109">
            <v>4</v>
          </cell>
          <cell r="G109">
            <v>85</v>
          </cell>
          <cell r="H109">
            <v>89</v>
          </cell>
        </row>
        <row r="110">
          <cell r="A110">
            <v>109</v>
          </cell>
          <cell r="B110">
            <v>108</v>
          </cell>
          <cell r="C110">
            <v>0.2273</v>
          </cell>
          <cell r="D110">
            <v>0.38</v>
          </cell>
          <cell r="E110">
            <v>0.19400000000000001</v>
          </cell>
          <cell r="F110">
            <v>4</v>
          </cell>
          <cell r="G110">
            <v>186</v>
          </cell>
          <cell r="H110">
            <v>190</v>
          </cell>
        </row>
        <row r="111">
          <cell r="A111">
            <v>110</v>
          </cell>
          <cell r="B111">
            <v>109</v>
          </cell>
          <cell r="C111">
            <v>0.2424</v>
          </cell>
          <cell r="D111">
            <v>0.38</v>
          </cell>
          <cell r="E111">
            <v>0.1343</v>
          </cell>
          <cell r="F111">
            <v>3</v>
          </cell>
          <cell r="G111">
            <v>166</v>
          </cell>
          <cell r="H111">
            <v>169</v>
          </cell>
        </row>
        <row r="112">
          <cell r="A112">
            <v>111</v>
          </cell>
          <cell r="B112">
            <v>110</v>
          </cell>
          <cell r="C112">
            <v>0.2576</v>
          </cell>
          <cell r="D112">
            <v>0.38</v>
          </cell>
          <cell r="E112">
            <v>0.1045</v>
          </cell>
          <cell r="F112">
            <v>5</v>
          </cell>
          <cell r="G112">
            <v>127</v>
          </cell>
          <cell r="H112">
            <v>132</v>
          </cell>
        </row>
        <row r="113">
          <cell r="A113">
            <v>112</v>
          </cell>
          <cell r="B113">
            <v>111</v>
          </cell>
          <cell r="C113">
            <v>0.2273</v>
          </cell>
          <cell r="D113">
            <v>0.47</v>
          </cell>
          <cell r="E113">
            <v>0.16420000000000001</v>
          </cell>
          <cell r="F113">
            <v>7</v>
          </cell>
          <cell r="G113">
            <v>82</v>
          </cell>
          <cell r="H113">
            <v>89</v>
          </cell>
        </row>
        <row r="114">
          <cell r="A114">
            <v>113</v>
          </cell>
          <cell r="B114">
            <v>112</v>
          </cell>
          <cell r="C114">
            <v>0.19700000000000001</v>
          </cell>
          <cell r="D114">
            <v>0.51</v>
          </cell>
          <cell r="E114">
            <v>0.19400000000000001</v>
          </cell>
          <cell r="F114">
            <v>3</v>
          </cell>
          <cell r="G114">
            <v>40</v>
          </cell>
          <cell r="H114">
            <v>43</v>
          </cell>
        </row>
        <row r="115">
          <cell r="A115">
            <v>114</v>
          </cell>
          <cell r="B115">
            <v>113</v>
          </cell>
          <cell r="C115">
            <v>0.19700000000000001</v>
          </cell>
          <cell r="D115">
            <v>0.55000000000000004</v>
          </cell>
          <cell r="E115">
            <v>0.1343</v>
          </cell>
          <cell r="F115">
            <v>1</v>
          </cell>
          <cell r="G115">
            <v>41</v>
          </cell>
          <cell r="H115">
            <v>42</v>
          </cell>
        </row>
        <row r="116">
          <cell r="A116">
            <v>115</v>
          </cell>
          <cell r="B116">
            <v>114</v>
          </cell>
          <cell r="C116">
            <v>0.2576</v>
          </cell>
          <cell r="D116">
            <v>0.47</v>
          </cell>
          <cell r="E116">
            <v>0</v>
          </cell>
          <cell r="F116">
            <v>1</v>
          </cell>
          <cell r="G116">
            <v>18</v>
          </cell>
          <cell r="H116">
            <v>19</v>
          </cell>
        </row>
        <row r="117">
          <cell r="A117">
            <v>116</v>
          </cell>
          <cell r="B117">
            <v>115</v>
          </cell>
          <cell r="C117">
            <v>0.2424</v>
          </cell>
          <cell r="D117">
            <v>0.55000000000000004</v>
          </cell>
          <cell r="E117">
            <v>0</v>
          </cell>
          <cell r="F117">
            <v>0</v>
          </cell>
          <cell r="G117">
            <v>11</v>
          </cell>
          <cell r="H117">
            <v>11</v>
          </cell>
        </row>
        <row r="118">
          <cell r="A118">
            <v>117</v>
          </cell>
          <cell r="B118">
            <v>116</v>
          </cell>
          <cell r="C118">
            <v>0.2273</v>
          </cell>
          <cell r="D118">
            <v>0.64</v>
          </cell>
          <cell r="E118">
            <v>0</v>
          </cell>
          <cell r="F118">
            <v>0</v>
          </cell>
          <cell r="G118">
            <v>4</v>
          </cell>
          <cell r="H118">
            <v>4</v>
          </cell>
        </row>
        <row r="119">
          <cell r="A119">
            <v>118</v>
          </cell>
          <cell r="B119">
            <v>117</v>
          </cell>
          <cell r="C119">
            <v>0.2273</v>
          </cell>
          <cell r="D119">
            <v>0.64</v>
          </cell>
          <cell r="E119">
            <v>0</v>
          </cell>
          <cell r="F119">
            <v>0</v>
          </cell>
          <cell r="G119">
            <v>2</v>
          </cell>
          <cell r="H119">
            <v>2</v>
          </cell>
        </row>
        <row r="120">
          <cell r="A120">
            <v>119</v>
          </cell>
          <cell r="B120">
            <v>118</v>
          </cell>
          <cell r="C120">
            <v>0.19700000000000001</v>
          </cell>
          <cell r="D120">
            <v>0.64</v>
          </cell>
          <cell r="E120">
            <v>8.9599999999999999E-2</v>
          </cell>
          <cell r="F120">
            <v>0</v>
          </cell>
          <cell r="G120">
            <v>1</v>
          </cell>
          <cell r="H120">
            <v>1</v>
          </cell>
        </row>
        <row r="121">
          <cell r="A121">
            <v>120</v>
          </cell>
          <cell r="B121">
            <v>119</v>
          </cell>
          <cell r="C121">
            <v>0.18179999999999999</v>
          </cell>
          <cell r="D121">
            <v>0.69</v>
          </cell>
          <cell r="E121">
            <v>8.9599999999999999E-2</v>
          </cell>
          <cell r="F121">
            <v>0</v>
          </cell>
          <cell r="G121">
            <v>4</v>
          </cell>
          <cell r="H121">
            <v>4</v>
          </cell>
        </row>
        <row r="122">
          <cell r="A122">
            <v>121</v>
          </cell>
          <cell r="B122">
            <v>120</v>
          </cell>
          <cell r="C122">
            <v>0.16669999999999999</v>
          </cell>
          <cell r="D122">
            <v>0.63</v>
          </cell>
          <cell r="E122">
            <v>0.1045</v>
          </cell>
          <cell r="F122">
            <v>0</v>
          </cell>
          <cell r="G122">
            <v>36</v>
          </cell>
          <cell r="H122">
            <v>36</v>
          </cell>
        </row>
        <row r="123">
          <cell r="A123">
            <v>122</v>
          </cell>
          <cell r="B123">
            <v>121</v>
          </cell>
          <cell r="C123">
            <v>0.2273</v>
          </cell>
          <cell r="D123">
            <v>0.59</v>
          </cell>
          <cell r="E123">
            <v>0</v>
          </cell>
          <cell r="F123">
            <v>0</v>
          </cell>
          <cell r="G123">
            <v>95</v>
          </cell>
          <cell r="H123">
            <v>95</v>
          </cell>
        </row>
        <row r="124">
          <cell r="A124">
            <v>123</v>
          </cell>
          <cell r="B124">
            <v>122</v>
          </cell>
          <cell r="C124">
            <v>0.2273</v>
          </cell>
          <cell r="D124">
            <v>0.59</v>
          </cell>
          <cell r="E124">
            <v>0</v>
          </cell>
          <cell r="F124">
            <v>3</v>
          </cell>
          <cell r="G124">
            <v>216</v>
          </cell>
          <cell r="H124">
            <v>219</v>
          </cell>
        </row>
        <row r="125">
          <cell r="A125">
            <v>124</v>
          </cell>
          <cell r="B125">
            <v>123</v>
          </cell>
          <cell r="C125">
            <v>0.2424</v>
          </cell>
          <cell r="D125">
            <v>0.51</v>
          </cell>
          <cell r="E125">
            <v>0</v>
          </cell>
          <cell r="F125">
            <v>6</v>
          </cell>
          <cell r="G125">
            <v>116</v>
          </cell>
          <cell r="H125">
            <v>122</v>
          </cell>
        </row>
        <row r="126">
          <cell r="A126">
            <v>125</v>
          </cell>
          <cell r="B126">
            <v>124</v>
          </cell>
          <cell r="C126">
            <v>0.2576</v>
          </cell>
          <cell r="D126">
            <v>0.47</v>
          </cell>
          <cell r="E126">
            <v>0</v>
          </cell>
          <cell r="F126">
            <v>3</v>
          </cell>
          <cell r="G126">
            <v>42</v>
          </cell>
          <cell r="H126">
            <v>45</v>
          </cell>
        </row>
        <row r="127">
          <cell r="A127">
            <v>126</v>
          </cell>
          <cell r="B127">
            <v>125</v>
          </cell>
          <cell r="C127">
            <v>0.2576</v>
          </cell>
          <cell r="D127">
            <v>0.44</v>
          </cell>
          <cell r="E127">
            <v>8.9599999999999999E-2</v>
          </cell>
          <cell r="F127">
            <v>2</v>
          </cell>
          <cell r="G127">
            <v>57</v>
          </cell>
          <cell r="H127">
            <v>59</v>
          </cell>
        </row>
        <row r="128">
          <cell r="A128">
            <v>127</v>
          </cell>
          <cell r="B128">
            <v>126</v>
          </cell>
          <cell r="C128">
            <v>0.28789999999999999</v>
          </cell>
          <cell r="D128">
            <v>0.35</v>
          </cell>
          <cell r="E128">
            <v>0</v>
          </cell>
          <cell r="F128">
            <v>6</v>
          </cell>
          <cell r="G128">
            <v>78</v>
          </cell>
          <cell r="H128">
            <v>84</v>
          </cell>
        </row>
        <row r="129">
          <cell r="A129">
            <v>128</v>
          </cell>
          <cell r="B129">
            <v>127</v>
          </cell>
          <cell r="C129">
            <v>0.2727</v>
          </cell>
          <cell r="D129">
            <v>0.35</v>
          </cell>
          <cell r="E129">
            <v>0.1045</v>
          </cell>
          <cell r="F129">
            <v>12</v>
          </cell>
          <cell r="G129">
            <v>55</v>
          </cell>
          <cell r="H129">
            <v>67</v>
          </cell>
        </row>
        <row r="130">
          <cell r="A130">
            <v>129</v>
          </cell>
          <cell r="B130">
            <v>128</v>
          </cell>
          <cell r="C130">
            <v>0.2727</v>
          </cell>
          <cell r="D130">
            <v>0.36</v>
          </cell>
          <cell r="E130">
            <v>0.16420000000000001</v>
          </cell>
          <cell r="F130">
            <v>11</v>
          </cell>
          <cell r="G130">
            <v>59</v>
          </cell>
          <cell r="H130">
            <v>70</v>
          </cell>
        </row>
        <row r="131">
          <cell r="A131">
            <v>130</v>
          </cell>
          <cell r="B131">
            <v>129</v>
          </cell>
          <cell r="C131">
            <v>0.2727</v>
          </cell>
          <cell r="D131">
            <v>0.36</v>
          </cell>
          <cell r="E131">
            <v>0</v>
          </cell>
          <cell r="F131">
            <v>8</v>
          </cell>
          <cell r="G131">
            <v>54</v>
          </cell>
          <cell r="H131">
            <v>62</v>
          </cell>
        </row>
        <row r="132">
          <cell r="A132">
            <v>131</v>
          </cell>
          <cell r="B132">
            <v>130</v>
          </cell>
          <cell r="C132">
            <v>0.2576</v>
          </cell>
          <cell r="D132">
            <v>0.38</v>
          </cell>
          <cell r="E132">
            <v>0.16420000000000001</v>
          </cell>
          <cell r="F132">
            <v>12</v>
          </cell>
          <cell r="G132">
            <v>74</v>
          </cell>
          <cell r="H132">
            <v>86</v>
          </cell>
        </row>
        <row r="133">
          <cell r="A133">
            <v>132</v>
          </cell>
          <cell r="B133">
            <v>131</v>
          </cell>
          <cell r="C133">
            <v>0.2273</v>
          </cell>
          <cell r="D133">
            <v>0.51</v>
          </cell>
          <cell r="E133">
            <v>0.16420000000000001</v>
          </cell>
          <cell r="F133">
            <v>9</v>
          </cell>
          <cell r="G133">
            <v>163</v>
          </cell>
          <cell r="H133">
            <v>172</v>
          </cell>
        </row>
        <row r="134">
          <cell r="A134">
            <v>133</v>
          </cell>
          <cell r="B134">
            <v>132</v>
          </cell>
          <cell r="C134">
            <v>0.2273</v>
          </cell>
          <cell r="D134">
            <v>0.51</v>
          </cell>
          <cell r="E134">
            <v>0.1343</v>
          </cell>
          <cell r="F134">
            <v>5</v>
          </cell>
          <cell r="G134">
            <v>158</v>
          </cell>
          <cell r="H134">
            <v>163</v>
          </cell>
        </row>
        <row r="135">
          <cell r="A135">
            <v>134</v>
          </cell>
          <cell r="B135">
            <v>133</v>
          </cell>
          <cell r="C135">
            <v>0.2576</v>
          </cell>
          <cell r="D135">
            <v>0.55000000000000004</v>
          </cell>
          <cell r="E135">
            <v>8.9599999999999999E-2</v>
          </cell>
          <cell r="F135">
            <v>3</v>
          </cell>
          <cell r="G135">
            <v>109</v>
          </cell>
          <cell r="H135">
            <v>112</v>
          </cell>
        </row>
        <row r="136">
          <cell r="A136">
            <v>135</v>
          </cell>
          <cell r="B136">
            <v>134</v>
          </cell>
          <cell r="C136">
            <v>0.21210000000000001</v>
          </cell>
          <cell r="D136">
            <v>0.51</v>
          </cell>
          <cell r="E136">
            <v>0.16420000000000001</v>
          </cell>
          <cell r="F136">
            <v>3</v>
          </cell>
          <cell r="G136">
            <v>66</v>
          </cell>
          <cell r="H136">
            <v>69</v>
          </cell>
        </row>
        <row r="137">
          <cell r="A137">
            <v>136</v>
          </cell>
          <cell r="B137">
            <v>135</v>
          </cell>
          <cell r="C137">
            <v>0.21210000000000001</v>
          </cell>
          <cell r="D137">
            <v>0.55000000000000004</v>
          </cell>
          <cell r="E137">
            <v>0.22389999999999999</v>
          </cell>
          <cell r="F137">
            <v>0</v>
          </cell>
          <cell r="G137">
            <v>48</v>
          </cell>
          <cell r="H137">
            <v>48</v>
          </cell>
        </row>
        <row r="138">
          <cell r="A138">
            <v>137</v>
          </cell>
          <cell r="B138">
            <v>136</v>
          </cell>
          <cell r="C138">
            <v>0.21210000000000001</v>
          </cell>
          <cell r="D138">
            <v>0.51</v>
          </cell>
          <cell r="E138">
            <v>0.28360000000000002</v>
          </cell>
          <cell r="F138">
            <v>1</v>
          </cell>
          <cell r="G138">
            <v>51</v>
          </cell>
          <cell r="H138">
            <v>52</v>
          </cell>
        </row>
        <row r="139">
          <cell r="A139">
            <v>138</v>
          </cell>
          <cell r="B139">
            <v>137</v>
          </cell>
          <cell r="C139">
            <v>0.19700000000000001</v>
          </cell>
          <cell r="D139">
            <v>0.59</v>
          </cell>
          <cell r="E139">
            <v>0.19400000000000001</v>
          </cell>
          <cell r="F139">
            <v>4</v>
          </cell>
          <cell r="G139">
            <v>19</v>
          </cell>
          <cell r="H139">
            <v>23</v>
          </cell>
        </row>
        <row r="140">
          <cell r="A140">
            <v>139</v>
          </cell>
          <cell r="B140">
            <v>138</v>
          </cell>
          <cell r="C140">
            <v>0.19700000000000001</v>
          </cell>
          <cell r="D140">
            <v>0.64</v>
          </cell>
          <cell r="E140">
            <v>0.19400000000000001</v>
          </cell>
          <cell r="F140">
            <v>4</v>
          </cell>
          <cell r="G140">
            <v>13</v>
          </cell>
          <cell r="H140">
            <v>17</v>
          </cell>
        </row>
        <row r="141">
          <cell r="A141">
            <v>140</v>
          </cell>
          <cell r="B141">
            <v>139</v>
          </cell>
          <cell r="C141">
            <v>0.19700000000000001</v>
          </cell>
          <cell r="D141">
            <v>0.69</v>
          </cell>
          <cell r="E141">
            <v>0.22389999999999999</v>
          </cell>
          <cell r="F141">
            <v>2</v>
          </cell>
          <cell r="G141">
            <v>5</v>
          </cell>
          <cell r="H141">
            <v>7</v>
          </cell>
        </row>
        <row r="142">
          <cell r="A142">
            <v>141</v>
          </cell>
          <cell r="B142">
            <v>140</v>
          </cell>
          <cell r="C142">
            <v>0.19700000000000001</v>
          </cell>
          <cell r="D142">
            <v>0.69</v>
          </cell>
          <cell r="E142">
            <v>0.22389999999999999</v>
          </cell>
          <cell r="F142">
            <v>0</v>
          </cell>
          <cell r="G142">
            <v>1</v>
          </cell>
          <cell r="H142">
            <v>1</v>
          </cell>
        </row>
        <row r="143">
          <cell r="A143">
            <v>142</v>
          </cell>
          <cell r="B143">
            <v>141</v>
          </cell>
          <cell r="C143">
            <v>0.21210000000000001</v>
          </cell>
          <cell r="D143">
            <v>0.69</v>
          </cell>
          <cell r="E143">
            <v>0.1343</v>
          </cell>
          <cell r="F143">
            <v>0</v>
          </cell>
          <cell r="G143">
            <v>1</v>
          </cell>
          <cell r="H143">
            <v>1</v>
          </cell>
        </row>
        <row r="144">
          <cell r="A144">
            <v>143</v>
          </cell>
          <cell r="B144">
            <v>142</v>
          </cell>
          <cell r="C144">
            <v>0.2727</v>
          </cell>
          <cell r="D144">
            <v>0.55000000000000004</v>
          </cell>
          <cell r="E144">
            <v>0</v>
          </cell>
          <cell r="F144">
            <v>0</v>
          </cell>
          <cell r="G144">
            <v>5</v>
          </cell>
          <cell r="H144">
            <v>5</v>
          </cell>
        </row>
        <row r="145">
          <cell r="A145">
            <v>144</v>
          </cell>
          <cell r="B145">
            <v>143</v>
          </cell>
          <cell r="C145">
            <v>0.2576</v>
          </cell>
          <cell r="D145">
            <v>0.69</v>
          </cell>
          <cell r="E145">
            <v>0</v>
          </cell>
          <cell r="F145">
            <v>8</v>
          </cell>
          <cell r="G145">
            <v>26</v>
          </cell>
          <cell r="H145">
            <v>34</v>
          </cell>
        </row>
        <row r="146">
          <cell r="A146">
            <v>145</v>
          </cell>
          <cell r="B146">
            <v>144</v>
          </cell>
          <cell r="C146">
            <v>0.21210000000000001</v>
          </cell>
          <cell r="D146">
            <v>0.69</v>
          </cell>
          <cell r="E146">
            <v>0.1343</v>
          </cell>
          <cell r="F146">
            <v>8</v>
          </cell>
          <cell r="G146">
            <v>76</v>
          </cell>
          <cell r="H146">
            <v>84</v>
          </cell>
        </row>
        <row r="147">
          <cell r="A147">
            <v>146</v>
          </cell>
          <cell r="B147">
            <v>145</v>
          </cell>
          <cell r="C147">
            <v>0.19700000000000001</v>
          </cell>
          <cell r="D147">
            <v>0.51</v>
          </cell>
          <cell r="E147">
            <v>0.25369999999999998</v>
          </cell>
          <cell r="F147">
            <v>20</v>
          </cell>
          <cell r="G147">
            <v>190</v>
          </cell>
          <cell r="H147">
            <v>210</v>
          </cell>
        </row>
        <row r="148">
          <cell r="A148">
            <v>147</v>
          </cell>
          <cell r="B148">
            <v>146</v>
          </cell>
          <cell r="C148">
            <v>0.18179999999999999</v>
          </cell>
          <cell r="D148">
            <v>0.47</v>
          </cell>
          <cell r="E148">
            <v>0.29849999999999999</v>
          </cell>
          <cell r="F148">
            <v>9</v>
          </cell>
          <cell r="G148">
            <v>125</v>
          </cell>
          <cell r="H148">
            <v>134</v>
          </cell>
        </row>
        <row r="149">
          <cell r="A149">
            <v>148</v>
          </cell>
          <cell r="B149">
            <v>147</v>
          </cell>
          <cell r="C149">
            <v>0.19700000000000001</v>
          </cell>
          <cell r="D149">
            <v>0.37</v>
          </cell>
          <cell r="E149">
            <v>0.32840000000000003</v>
          </cell>
          <cell r="F149">
            <v>16</v>
          </cell>
          <cell r="G149">
            <v>47</v>
          </cell>
          <cell r="H149">
            <v>63</v>
          </cell>
        </row>
        <row r="150">
          <cell r="A150">
            <v>149</v>
          </cell>
          <cell r="B150">
            <v>148</v>
          </cell>
          <cell r="C150">
            <v>0.19700000000000001</v>
          </cell>
          <cell r="D150">
            <v>0.4</v>
          </cell>
          <cell r="E150">
            <v>0.22389999999999999</v>
          </cell>
          <cell r="F150">
            <v>19</v>
          </cell>
          <cell r="G150">
            <v>48</v>
          </cell>
          <cell r="H150">
            <v>67</v>
          </cell>
        </row>
        <row r="151">
          <cell r="A151">
            <v>150</v>
          </cell>
          <cell r="B151">
            <v>149</v>
          </cell>
          <cell r="C151">
            <v>0.19700000000000001</v>
          </cell>
          <cell r="D151">
            <v>0.37</v>
          </cell>
          <cell r="E151">
            <v>0.25369999999999998</v>
          </cell>
          <cell r="F151">
            <v>9</v>
          </cell>
          <cell r="G151">
            <v>50</v>
          </cell>
          <cell r="H151">
            <v>59</v>
          </cell>
        </row>
        <row r="152">
          <cell r="A152">
            <v>151</v>
          </cell>
          <cell r="B152">
            <v>150</v>
          </cell>
          <cell r="C152">
            <v>0.18179999999999999</v>
          </cell>
          <cell r="D152">
            <v>0.37</v>
          </cell>
          <cell r="E152">
            <v>0.28360000000000002</v>
          </cell>
          <cell r="F152">
            <v>9</v>
          </cell>
          <cell r="G152">
            <v>64</v>
          </cell>
          <cell r="H152">
            <v>73</v>
          </cell>
        </row>
        <row r="153">
          <cell r="A153">
            <v>152</v>
          </cell>
          <cell r="B153">
            <v>151</v>
          </cell>
          <cell r="C153">
            <v>0.19700000000000001</v>
          </cell>
          <cell r="D153">
            <v>0.4</v>
          </cell>
          <cell r="E153">
            <v>0.25369999999999998</v>
          </cell>
          <cell r="F153">
            <v>7</v>
          </cell>
          <cell r="G153">
            <v>43</v>
          </cell>
          <cell r="H153">
            <v>50</v>
          </cell>
        </row>
        <row r="154">
          <cell r="A154">
            <v>153</v>
          </cell>
          <cell r="B154">
            <v>152</v>
          </cell>
          <cell r="C154">
            <v>0.21210000000000001</v>
          </cell>
          <cell r="D154">
            <v>0.37</v>
          </cell>
          <cell r="E154">
            <v>0.16420000000000001</v>
          </cell>
          <cell r="F154">
            <v>9</v>
          </cell>
          <cell r="G154">
            <v>63</v>
          </cell>
          <cell r="H154">
            <v>72</v>
          </cell>
        </row>
        <row r="155">
          <cell r="A155">
            <v>154</v>
          </cell>
          <cell r="B155">
            <v>153</v>
          </cell>
          <cell r="C155">
            <v>0.21210000000000001</v>
          </cell>
          <cell r="D155">
            <v>0.37</v>
          </cell>
          <cell r="E155">
            <v>0.16420000000000001</v>
          </cell>
          <cell r="F155">
            <v>5</v>
          </cell>
          <cell r="G155">
            <v>82</v>
          </cell>
          <cell r="H155">
            <v>87</v>
          </cell>
        </row>
        <row r="156">
          <cell r="A156">
            <v>155</v>
          </cell>
          <cell r="B156">
            <v>154</v>
          </cell>
          <cell r="C156">
            <v>0.2576</v>
          </cell>
          <cell r="D156">
            <v>0.37</v>
          </cell>
          <cell r="E156">
            <v>0</v>
          </cell>
          <cell r="F156">
            <v>9</v>
          </cell>
          <cell r="G156">
            <v>178</v>
          </cell>
          <cell r="H156">
            <v>187</v>
          </cell>
        </row>
        <row r="157">
          <cell r="A157">
            <v>156</v>
          </cell>
          <cell r="B157">
            <v>155</v>
          </cell>
          <cell r="C157">
            <v>0.2273</v>
          </cell>
          <cell r="D157">
            <v>0.4</v>
          </cell>
          <cell r="E157">
            <v>8.9599999999999999E-2</v>
          </cell>
          <cell r="F157">
            <v>7</v>
          </cell>
          <cell r="G157">
            <v>116</v>
          </cell>
          <cell r="H157">
            <v>123</v>
          </cell>
        </row>
        <row r="158">
          <cell r="A158">
            <v>157</v>
          </cell>
          <cell r="B158">
            <v>156</v>
          </cell>
          <cell r="C158">
            <v>0.19700000000000001</v>
          </cell>
          <cell r="D158">
            <v>0.55000000000000004</v>
          </cell>
          <cell r="E158">
            <v>8.9599999999999999E-2</v>
          </cell>
          <cell r="F158">
            <v>3</v>
          </cell>
          <cell r="G158">
            <v>92</v>
          </cell>
          <cell r="H158">
            <v>95</v>
          </cell>
        </row>
        <row r="159">
          <cell r="A159">
            <v>158</v>
          </cell>
          <cell r="B159">
            <v>157</v>
          </cell>
          <cell r="C159">
            <v>0.21210000000000001</v>
          </cell>
          <cell r="D159">
            <v>0.47</v>
          </cell>
          <cell r="E159">
            <v>0.1045</v>
          </cell>
          <cell r="F159">
            <v>1</v>
          </cell>
          <cell r="G159">
            <v>50</v>
          </cell>
          <cell r="H159">
            <v>51</v>
          </cell>
        </row>
        <row r="160">
          <cell r="A160">
            <v>159</v>
          </cell>
          <cell r="B160">
            <v>158</v>
          </cell>
          <cell r="C160">
            <v>0.19700000000000001</v>
          </cell>
          <cell r="D160">
            <v>0.47</v>
          </cell>
          <cell r="E160">
            <v>0.1343</v>
          </cell>
          <cell r="F160">
            <v>0</v>
          </cell>
          <cell r="G160">
            <v>39</v>
          </cell>
          <cell r="H160">
            <v>39</v>
          </cell>
        </row>
        <row r="161">
          <cell r="A161">
            <v>160</v>
          </cell>
          <cell r="B161">
            <v>159</v>
          </cell>
          <cell r="C161">
            <v>0.19700000000000001</v>
          </cell>
          <cell r="D161">
            <v>0.43</v>
          </cell>
          <cell r="E161">
            <v>0.16420000000000001</v>
          </cell>
          <cell r="F161">
            <v>2</v>
          </cell>
          <cell r="G161">
            <v>34</v>
          </cell>
          <cell r="H161">
            <v>36</v>
          </cell>
        </row>
        <row r="162">
          <cell r="A162">
            <v>161</v>
          </cell>
          <cell r="B162">
            <v>160</v>
          </cell>
          <cell r="C162">
            <v>0.19700000000000001</v>
          </cell>
          <cell r="D162">
            <v>0.51</v>
          </cell>
          <cell r="E162">
            <v>0.16420000000000001</v>
          </cell>
          <cell r="F162">
            <v>1</v>
          </cell>
          <cell r="G162">
            <v>14</v>
          </cell>
          <cell r="H162">
            <v>15</v>
          </cell>
        </row>
        <row r="163">
          <cell r="A163">
            <v>162</v>
          </cell>
          <cell r="B163">
            <v>161</v>
          </cell>
          <cell r="C163">
            <v>0.19700000000000001</v>
          </cell>
          <cell r="D163">
            <v>0.51</v>
          </cell>
          <cell r="E163">
            <v>0.16420000000000001</v>
          </cell>
          <cell r="F163">
            <v>1</v>
          </cell>
          <cell r="G163">
            <v>24</v>
          </cell>
          <cell r="H163">
            <v>25</v>
          </cell>
        </row>
        <row r="164">
          <cell r="A164">
            <v>163</v>
          </cell>
          <cell r="B164">
            <v>162</v>
          </cell>
          <cell r="C164">
            <v>0.21210000000000001</v>
          </cell>
          <cell r="D164">
            <v>0.55000000000000004</v>
          </cell>
          <cell r="E164">
            <v>8.9599999999999999E-2</v>
          </cell>
          <cell r="F164">
            <v>1</v>
          </cell>
          <cell r="G164">
            <v>15</v>
          </cell>
          <cell r="H164">
            <v>16</v>
          </cell>
        </row>
        <row r="165">
          <cell r="A165">
            <v>164</v>
          </cell>
          <cell r="B165">
            <v>163</v>
          </cell>
          <cell r="C165">
            <v>0.2424</v>
          </cell>
          <cell r="D165">
            <v>0.55000000000000004</v>
          </cell>
          <cell r="E165">
            <v>0</v>
          </cell>
          <cell r="F165">
            <v>3</v>
          </cell>
          <cell r="G165">
            <v>13</v>
          </cell>
          <cell r="H165">
            <v>16</v>
          </cell>
        </row>
        <row r="166">
          <cell r="A166">
            <v>165</v>
          </cell>
          <cell r="B166">
            <v>164</v>
          </cell>
          <cell r="C166">
            <v>0.19700000000000001</v>
          </cell>
          <cell r="D166">
            <v>0.55000000000000004</v>
          </cell>
          <cell r="E166">
            <v>0.16420000000000001</v>
          </cell>
          <cell r="F166">
            <v>0</v>
          </cell>
          <cell r="G166">
            <v>7</v>
          </cell>
          <cell r="H166">
            <v>7</v>
          </cell>
        </row>
        <row r="167">
          <cell r="A167">
            <v>166</v>
          </cell>
          <cell r="B167">
            <v>165</v>
          </cell>
          <cell r="C167">
            <v>0.19700000000000001</v>
          </cell>
          <cell r="D167">
            <v>0.55000000000000004</v>
          </cell>
          <cell r="E167">
            <v>0.16420000000000001</v>
          </cell>
          <cell r="F167">
            <v>0</v>
          </cell>
          <cell r="G167">
            <v>1</v>
          </cell>
          <cell r="H167">
            <v>1</v>
          </cell>
        </row>
        <row r="168">
          <cell r="A168">
            <v>167</v>
          </cell>
          <cell r="B168">
            <v>166</v>
          </cell>
          <cell r="C168">
            <v>0.16669999999999999</v>
          </cell>
          <cell r="D168">
            <v>0.74</v>
          </cell>
          <cell r="E168">
            <v>0.16420000000000001</v>
          </cell>
          <cell r="F168">
            <v>0</v>
          </cell>
          <cell r="G168">
            <v>5</v>
          </cell>
          <cell r="H168">
            <v>5</v>
          </cell>
        </row>
        <row r="169">
          <cell r="A169">
            <v>168</v>
          </cell>
          <cell r="B169">
            <v>167</v>
          </cell>
          <cell r="C169">
            <v>0.16669999999999999</v>
          </cell>
          <cell r="D169">
            <v>0.74</v>
          </cell>
          <cell r="E169">
            <v>0.16420000000000001</v>
          </cell>
          <cell r="F169">
            <v>0</v>
          </cell>
          <cell r="G169">
            <v>2</v>
          </cell>
          <cell r="H169">
            <v>2</v>
          </cell>
        </row>
        <row r="170">
          <cell r="A170">
            <v>169</v>
          </cell>
          <cell r="B170">
            <v>168</v>
          </cell>
          <cell r="C170">
            <v>0.18179999999999999</v>
          </cell>
          <cell r="D170">
            <v>0.74</v>
          </cell>
          <cell r="E170">
            <v>0.1045</v>
          </cell>
          <cell r="F170">
            <v>1</v>
          </cell>
          <cell r="G170">
            <v>8</v>
          </cell>
          <cell r="H170">
            <v>9</v>
          </cell>
        </row>
        <row r="171">
          <cell r="A171">
            <v>170</v>
          </cell>
          <cell r="B171">
            <v>169</v>
          </cell>
          <cell r="C171">
            <v>0.18179999999999999</v>
          </cell>
          <cell r="D171">
            <v>0.93</v>
          </cell>
          <cell r="E171">
            <v>0.1045</v>
          </cell>
          <cell r="F171">
            <v>0</v>
          </cell>
          <cell r="G171">
            <v>15</v>
          </cell>
          <cell r="H171">
            <v>15</v>
          </cell>
        </row>
        <row r="172">
          <cell r="A172">
            <v>171</v>
          </cell>
          <cell r="B172">
            <v>170</v>
          </cell>
          <cell r="C172">
            <v>0.18179999999999999</v>
          </cell>
          <cell r="D172">
            <v>0.93</v>
          </cell>
          <cell r="E172">
            <v>0.1045</v>
          </cell>
          <cell r="F172">
            <v>0</v>
          </cell>
          <cell r="G172">
            <v>20</v>
          </cell>
          <cell r="H172">
            <v>20</v>
          </cell>
        </row>
        <row r="173">
          <cell r="A173">
            <v>172</v>
          </cell>
          <cell r="B173">
            <v>171</v>
          </cell>
          <cell r="C173">
            <v>0.19700000000000001</v>
          </cell>
          <cell r="D173">
            <v>0.8</v>
          </cell>
          <cell r="E173">
            <v>0.16420000000000001</v>
          </cell>
          <cell r="F173">
            <v>5</v>
          </cell>
          <cell r="G173">
            <v>56</v>
          </cell>
          <cell r="H173">
            <v>61</v>
          </cell>
        </row>
        <row r="174">
          <cell r="A174">
            <v>173</v>
          </cell>
          <cell r="B174">
            <v>172</v>
          </cell>
          <cell r="C174">
            <v>0.18179999999999999</v>
          </cell>
          <cell r="D174">
            <v>0.69</v>
          </cell>
          <cell r="E174">
            <v>0.3881</v>
          </cell>
          <cell r="F174">
            <v>2</v>
          </cell>
          <cell r="G174">
            <v>60</v>
          </cell>
          <cell r="H174">
            <v>62</v>
          </cell>
        </row>
        <row r="175">
          <cell r="A175">
            <v>174</v>
          </cell>
          <cell r="B175">
            <v>173</v>
          </cell>
          <cell r="C175">
            <v>0.18179999999999999</v>
          </cell>
          <cell r="D175">
            <v>0.59</v>
          </cell>
          <cell r="E175">
            <v>0.35820000000000002</v>
          </cell>
          <cell r="F175">
            <v>8</v>
          </cell>
          <cell r="G175">
            <v>90</v>
          </cell>
          <cell r="H175">
            <v>98</v>
          </cell>
        </row>
        <row r="176">
          <cell r="A176">
            <v>175</v>
          </cell>
          <cell r="B176">
            <v>174</v>
          </cell>
          <cell r="C176">
            <v>0.18179999999999999</v>
          </cell>
          <cell r="D176">
            <v>0.44</v>
          </cell>
          <cell r="E176">
            <v>0.32840000000000003</v>
          </cell>
          <cell r="F176">
            <v>7</v>
          </cell>
          <cell r="G176">
            <v>95</v>
          </cell>
          <cell r="H176">
            <v>102</v>
          </cell>
        </row>
        <row r="177">
          <cell r="A177">
            <v>176</v>
          </cell>
          <cell r="B177">
            <v>175</v>
          </cell>
          <cell r="C177">
            <v>0.16669999999999999</v>
          </cell>
          <cell r="D177">
            <v>0.32</v>
          </cell>
          <cell r="E177">
            <v>0.49249999999999999</v>
          </cell>
          <cell r="F177">
            <v>12</v>
          </cell>
          <cell r="G177">
            <v>83</v>
          </cell>
          <cell r="H177">
            <v>95</v>
          </cell>
        </row>
        <row r="178">
          <cell r="A178">
            <v>177</v>
          </cell>
          <cell r="B178">
            <v>176</v>
          </cell>
          <cell r="C178">
            <v>0.16669999999999999</v>
          </cell>
          <cell r="D178">
            <v>0.32</v>
          </cell>
          <cell r="E178">
            <v>0.44779999999999998</v>
          </cell>
          <cell r="F178">
            <v>5</v>
          </cell>
          <cell r="G178">
            <v>69</v>
          </cell>
          <cell r="H178">
            <v>74</v>
          </cell>
        </row>
        <row r="179">
          <cell r="A179">
            <v>178</v>
          </cell>
          <cell r="B179">
            <v>177</v>
          </cell>
          <cell r="C179">
            <v>0.13639999999999999</v>
          </cell>
          <cell r="D179">
            <v>0.28999999999999998</v>
          </cell>
          <cell r="E179">
            <v>0.44779999999999998</v>
          </cell>
          <cell r="F179">
            <v>8</v>
          </cell>
          <cell r="G179">
            <v>68</v>
          </cell>
          <cell r="H179">
            <v>76</v>
          </cell>
        </row>
        <row r="180">
          <cell r="A180">
            <v>179</v>
          </cell>
          <cell r="B180">
            <v>178</v>
          </cell>
          <cell r="C180">
            <v>0.1212</v>
          </cell>
          <cell r="D180">
            <v>0.37</v>
          </cell>
          <cell r="E180">
            <v>0.55220000000000002</v>
          </cell>
          <cell r="F180">
            <v>5</v>
          </cell>
          <cell r="G180">
            <v>64</v>
          </cell>
          <cell r="H180">
            <v>69</v>
          </cell>
        </row>
        <row r="181">
          <cell r="A181">
            <v>180</v>
          </cell>
          <cell r="B181">
            <v>179</v>
          </cell>
          <cell r="C181">
            <v>0.1212</v>
          </cell>
          <cell r="D181">
            <v>0.39</v>
          </cell>
          <cell r="E181">
            <v>0.29849999999999999</v>
          </cell>
          <cell r="F181">
            <v>3</v>
          </cell>
          <cell r="G181">
            <v>52</v>
          </cell>
          <cell r="H181">
            <v>55</v>
          </cell>
        </row>
        <row r="182">
          <cell r="A182">
            <v>181</v>
          </cell>
          <cell r="B182">
            <v>180</v>
          </cell>
          <cell r="C182">
            <v>0.1212</v>
          </cell>
          <cell r="D182">
            <v>0.36</v>
          </cell>
          <cell r="E182">
            <v>0.25369999999999998</v>
          </cell>
          <cell r="F182">
            <v>4</v>
          </cell>
          <cell r="G182">
            <v>26</v>
          </cell>
          <cell r="H182">
            <v>30</v>
          </cell>
        </row>
        <row r="183">
          <cell r="A183">
            <v>182</v>
          </cell>
          <cell r="B183">
            <v>181</v>
          </cell>
          <cell r="C183">
            <v>0.1212</v>
          </cell>
          <cell r="D183">
            <v>0.36</v>
          </cell>
          <cell r="E183">
            <v>0.25369999999999998</v>
          </cell>
          <cell r="F183">
            <v>0</v>
          </cell>
          <cell r="G183">
            <v>28</v>
          </cell>
          <cell r="H183">
            <v>28</v>
          </cell>
        </row>
        <row r="184">
          <cell r="A184">
            <v>183</v>
          </cell>
          <cell r="B184">
            <v>182</v>
          </cell>
          <cell r="C184">
            <v>0.1061</v>
          </cell>
          <cell r="D184">
            <v>0.39</v>
          </cell>
          <cell r="E184">
            <v>0.35820000000000002</v>
          </cell>
          <cell r="F184">
            <v>2</v>
          </cell>
          <cell r="G184">
            <v>35</v>
          </cell>
          <cell r="H184">
            <v>37</v>
          </cell>
        </row>
        <row r="185">
          <cell r="A185">
            <v>184</v>
          </cell>
          <cell r="B185">
            <v>183</v>
          </cell>
          <cell r="C185">
            <v>0.1061</v>
          </cell>
          <cell r="D185">
            <v>0.36</v>
          </cell>
          <cell r="E185">
            <v>0.3881</v>
          </cell>
          <cell r="F185">
            <v>1</v>
          </cell>
          <cell r="G185">
            <v>33</v>
          </cell>
          <cell r="H185">
            <v>34</v>
          </cell>
        </row>
        <row r="186">
          <cell r="A186">
            <v>185</v>
          </cell>
          <cell r="B186">
            <v>184</v>
          </cell>
          <cell r="C186">
            <v>6.0600000000000001E-2</v>
          </cell>
          <cell r="D186">
            <v>0.39</v>
          </cell>
          <cell r="E186">
            <v>0.44779999999999998</v>
          </cell>
          <cell r="F186">
            <v>0</v>
          </cell>
          <cell r="G186">
            <v>22</v>
          </cell>
          <cell r="H186">
            <v>22</v>
          </cell>
        </row>
        <row r="187">
          <cell r="A187">
            <v>186</v>
          </cell>
          <cell r="B187">
            <v>185</v>
          </cell>
          <cell r="C187">
            <v>7.5800000000000006E-2</v>
          </cell>
          <cell r="D187">
            <v>0.42</v>
          </cell>
          <cell r="E187">
            <v>0.3881</v>
          </cell>
          <cell r="F187">
            <v>1</v>
          </cell>
          <cell r="G187">
            <v>24</v>
          </cell>
          <cell r="H187">
            <v>25</v>
          </cell>
        </row>
        <row r="188">
          <cell r="A188">
            <v>187</v>
          </cell>
          <cell r="B188">
            <v>186</v>
          </cell>
          <cell r="C188">
            <v>6.0600000000000001E-2</v>
          </cell>
          <cell r="D188">
            <v>0.42</v>
          </cell>
          <cell r="E188">
            <v>0.4627</v>
          </cell>
          <cell r="F188">
            <v>0</v>
          </cell>
          <cell r="G188">
            <v>12</v>
          </cell>
          <cell r="H188">
            <v>12</v>
          </cell>
        </row>
        <row r="189">
          <cell r="A189">
            <v>188</v>
          </cell>
          <cell r="B189">
            <v>187</v>
          </cell>
          <cell r="C189">
            <v>6.0600000000000001E-2</v>
          </cell>
          <cell r="D189">
            <v>0.46</v>
          </cell>
          <cell r="E189">
            <v>0.4627</v>
          </cell>
          <cell r="F189">
            <v>0</v>
          </cell>
          <cell r="G189">
            <v>11</v>
          </cell>
          <cell r="H189">
            <v>11</v>
          </cell>
        </row>
        <row r="190">
          <cell r="A190">
            <v>189</v>
          </cell>
          <cell r="B190">
            <v>188</v>
          </cell>
          <cell r="C190">
            <v>7.5800000000000006E-2</v>
          </cell>
          <cell r="D190">
            <v>0.46</v>
          </cell>
          <cell r="E190">
            <v>0.41789999999999999</v>
          </cell>
          <cell r="F190">
            <v>0</v>
          </cell>
          <cell r="G190">
            <v>4</v>
          </cell>
          <cell r="H190">
            <v>4</v>
          </cell>
        </row>
        <row r="191">
          <cell r="A191">
            <v>190</v>
          </cell>
          <cell r="B191">
            <v>189</v>
          </cell>
          <cell r="C191">
            <v>9.0899999999999995E-2</v>
          </cell>
          <cell r="D191">
            <v>0.53</v>
          </cell>
          <cell r="E191">
            <v>0.19400000000000001</v>
          </cell>
          <cell r="F191">
            <v>0</v>
          </cell>
          <cell r="G191">
            <v>1</v>
          </cell>
          <cell r="H191">
            <v>1</v>
          </cell>
        </row>
        <row r="192">
          <cell r="A192">
            <v>191</v>
          </cell>
          <cell r="B192">
            <v>190</v>
          </cell>
          <cell r="C192">
            <v>9.0899999999999995E-2</v>
          </cell>
          <cell r="D192">
            <v>0.53</v>
          </cell>
          <cell r="E192">
            <v>0.19400000000000001</v>
          </cell>
          <cell r="F192">
            <v>0</v>
          </cell>
          <cell r="G192">
            <v>1</v>
          </cell>
          <cell r="H192">
            <v>1</v>
          </cell>
        </row>
        <row r="193">
          <cell r="A193">
            <v>192</v>
          </cell>
          <cell r="B193">
            <v>191</v>
          </cell>
          <cell r="C193">
            <v>9.0899999999999995E-2</v>
          </cell>
          <cell r="D193">
            <v>0.49</v>
          </cell>
          <cell r="E193">
            <v>0.28360000000000002</v>
          </cell>
          <cell r="F193">
            <v>0</v>
          </cell>
          <cell r="G193">
            <v>1</v>
          </cell>
          <cell r="H193">
            <v>1</v>
          </cell>
        </row>
        <row r="194">
          <cell r="A194">
            <v>193</v>
          </cell>
          <cell r="B194">
            <v>192</v>
          </cell>
          <cell r="C194">
            <v>9.0899999999999995E-2</v>
          </cell>
          <cell r="D194">
            <v>0.53</v>
          </cell>
          <cell r="E194">
            <v>0.19400000000000001</v>
          </cell>
          <cell r="F194">
            <v>1</v>
          </cell>
          <cell r="G194">
            <v>5</v>
          </cell>
          <cell r="H194">
            <v>6</v>
          </cell>
        </row>
        <row r="195">
          <cell r="A195">
            <v>194</v>
          </cell>
          <cell r="B195">
            <v>193</v>
          </cell>
          <cell r="C195">
            <v>9.0899999999999995E-2</v>
          </cell>
          <cell r="D195">
            <v>0.49</v>
          </cell>
          <cell r="E195">
            <v>0.28360000000000002</v>
          </cell>
          <cell r="F195">
            <v>0</v>
          </cell>
          <cell r="G195">
            <v>10</v>
          </cell>
          <cell r="H195">
            <v>10</v>
          </cell>
        </row>
        <row r="196">
          <cell r="A196">
            <v>195</v>
          </cell>
          <cell r="B196">
            <v>194</v>
          </cell>
          <cell r="C196">
            <v>7.5800000000000006E-2</v>
          </cell>
          <cell r="D196">
            <v>0.46</v>
          </cell>
          <cell r="E196">
            <v>0.52239999999999998</v>
          </cell>
          <cell r="F196">
            <v>0</v>
          </cell>
          <cell r="G196">
            <v>19</v>
          </cell>
          <cell r="H196">
            <v>19</v>
          </cell>
        </row>
        <row r="197">
          <cell r="A197">
            <v>196</v>
          </cell>
          <cell r="B197">
            <v>195</v>
          </cell>
          <cell r="C197">
            <v>0.1061</v>
          </cell>
          <cell r="D197">
            <v>0.43</v>
          </cell>
          <cell r="E197">
            <v>0.3881</v>
          </cell>
          <cell r="F197">
            <v>0</v>
          </cell>
          <cell r="G197">
            <v>49</v>
          </cell>
          <cell r="H197">
            <v>49</v>
          </cell>
        </row>
        <row r="198">
          <cell r="A198">
            <v>197</v>
          </cell>
          <cell r="B198">
            <v>196</v>
          </cell>
          <cell r="C198">
            <v>0.1212</v>
          </cell>
          <cell r="D198">
            <v>0.4</v>
          </cell>
          <cell r="E198">
            <v>0.52239999999999998</v>
          </cell>
          <cell r="F198">
            <v>2</v>
          </cell>
          <cell r="G198">
            <v>47</v>
          </cell>
          <cell r="H198">
            <v>49</v>
          </cell>
        </row>
        <row r="199">
          <cell r="A199">
            <v>198</v>
          </cell>
          <cell r="B199">
            <v>197</v>
          </cell>
          <cell r="C199">
            <v>0.13639999999999999</v>
          </cell>
          <cell r="D199">
            <v>0.37</v>
          </cell>
          <cell r="E199">
            <v>0.44779999999999998</v>
          </cell>
          <cell r="F199">
            <v>4</v>
          </cell>
          <cell r="G199">
            <v>79</v>
          </cell>
          <cell r="H199">
            <v>83</v>
          </cell>
        </row>
        <row r="200">
          <cell r="A200">
            <v>199</v>
          </cell>
          <cell r="B200">
            <v>198</v>
          </cell>
          <cell r="C200">
            <v>0.16669999999999999</v>
          </cell>
          <cell r="D200">
            <v>0.34</v>
          </cell>
          <cell r="E200">
            <v>0.44779999999999998</v>
          </cell>
          <cell r="F200">
            <v>6</v>
          </cell>
          <cell r="G200">
            <v>69</v>
          </cell>
          <cell r="H200">
            <v>75</v>
          </cell>
        </row>
        <row r="201">
          <cell r="A201">
            <v>200</v>
          </cell>
          <cell r="B201">
            <v>199</v>
          </cell>
          <cell r="C201">
            <v>0.18179999999999999</v>
          </cell>
          <cell r="D201">
            <v>0.32</v>
          </cell>
          <cell r="E201">
            <v>0.4627</v>
          </cell>
          <cell r="F201">
            <v>8</v>
          </cell>
          <cell r="G201">
            <v>64</v>
          </cell>
          <cell r="H201">
            <v>72</v>
          </cell>
        </row>
        <row r="202">
          <cell r="A202">
            <v>201</v>
          </cell>
          <cell r="B202">
            <v>200</v>
          </cell>
          <cell r="C202">
            <v>0.19700000000000001</v>
          </cell>
          <cell r="D202">
            <v>0.35</v>
          </cell>
          <cell r="E202">
            <v>0.35820000000000002</v>
          </cell>
          <cell r="F202">
            <v>5</v>
          </cell>
          <cell r="G202">
            <v>77</v>
          </cell>
          <cell r="H202">
            <v>82</v>
          </cell>
        </row>
        <row r="203">
          <cell r="A203">
            <v>202</v>
          </cell>
          <cell r="B203">
            <v>201</v>
          </cell>
          <cell r="C203">
            <v>0.16669999999999999</v>
          </cell>
          <cell r="D203">
            <v>0.34</v>
          </cell>
          <cell r="E203">
            <v>0.44779999999999998</v>
          </cell>
          <cell r="F203">
            <v>13</v>
          </cell>
          <cell r="G203">
            <v>79</v>
          </cell>
          <cell r="H203">
            <v>92</v>
          </cell>
        </row>
        <row r="204">
          <cell r="A204">
            <v>203</v>
          </cell>
          <cell r="B204">
            <v>202</v>
          </cell>
          <cell r="C204">
            <v>0.1515</v>
          </cell>
          <cell r="D204">
            <v>0.37</v>
          </cell>
          <cell r="E204">
            <v>0.3881</v>
          </cell>
          <cell r="F204">
            <v>3</v>
          </cell>
          <cell r="G204">
            <v>59</v>
          </cell>
          <cell r="H204">
            <v>62</v>
          </cell>
        </row>
        <row r="205">
          <cell r="A205">
            <v>204</v>
          </cell>
          <cell r="B205">
            <v>203</v>
          </cell>
          <cell r="C205">
            <v>0.13639999999999999</v>
          </cell>
          <cell r="D205">
            <v>0.4</v>
          </cell>
          <cell r="E205">
            <v>0.32840000000000003</v>
          </cell>
          <cell r="F205">
            <v>4</v>
          </cell>
          <cell r="G205">
            <v>44</v>
          </cell>
          <cell r="H205">
            <v>48</v>
          </cell>
        </row>
        <row r="206">
          <cell r="A206">
            <v>205</v>
          </cell>
          <cell r="B206">
            <v>204</v>
          </cell>
          <cell r="C206">
            <v>0.13639999999999999</v>
          </cell>
          <cell r="D206">
            <v>0.43</v>
          </cell>
          <cell r="E206">
            <v>0.32840000000000003</v>
          </cell>
          <cell r="F206">
            <v>1</v>
          </cell>
          <cell r="G206">
            <v>40</v>
          </cell>
          <cell r="H206">
            <v>41</v>
          </cell>
        </row>
        <row r="207">
          <cell r="A207">
            <v>206</v>
          </cell>
          <cell r="B207">
            <v>205</v>
          </cell>
          <cell r="C207">
            <v>0.1212</v>
          </cell>
          <cell r="D207">
            <v>0.46</v>
          </cell>
          <cell r="E207">
            <v>0.25369999999999998</v>
          </cell>
          <cell r="F207">
            <v>0</v>
          </cell>
          <cell r="G207">
            <v>38</v>
          </cell>
          <cell r="H207">
            <v>38</v>
          </cell>
        </row>
        <row r="208">
          <cell r="A208">
            <v>207</v>
          </cell>
          <cell r="B208">
            <v>206</v>
          </cell>
          <cell r="C208">
            <v>0.1061</v>
          </cell>
          <cell r="D208">
            <v>0.46</v>
          </cell>
          <cell r="E208">
            <v>0.41789999999999999</v>
          </cell>
          <cell r="F208">
            <v>1</v>
          </cell>
          <cell r="G208">
            <v>19</v>
          </cell>
          <cell r="H208">
            <v>20</v>
          </cell>
        </row>
        <row r="209">
          <cell r="A209">
            <v>208</v>
          </cell>
          <cell r="B209">
            <v>207</v>
          </cell>
          <cell r="C209">
            <v>0.1212</v>
          </cell>
          <cell r="D209">
            <v>0.46</v>
          </cell>
          <cell r="E209">
            <v>0.29849999999999999</v>
          </cell>
          <cell r="F209">
            <v>5</v>
          </cell>
          <cell r="G209">
            <v>10</v>
          </cell>
          <cell r="H209">
            <v>15</v>
          </cell>
        </row>
        <row r="210">
          <cell r="A210">
            <v>209</v>
          </cell>
          <cell r="B210">
            <v>208</v>
          </cell>
          <cell r="C210">
            <v>0.13639999999999999</v>
          </cell>
          <cell r="D210">
            <v>0.5</v>
          </cell>
          <cell r="E210">
            <v>0.19400000000000001</v>
          </cell>
          <cell r="F210">
            <v>0</v>
          </cell>
          <cell r="G210">
            <v>6</v>
          </cell>
          <cell r="H210">
            <v>6</v>
          </cell>
        </row>
        <row r="211">
          <cell r="A211">
            <v>210</v>
          </cell>
          <cell r="B211">
            <v>209</v>
          </cell>
          <cell r="C211">
            <v>0.1212</v>
          </cell>
          <cell r="D211">
            <v>0.5</v>
          </cell>
          <cell r="E211">
            <v>0.28360000000000002</v>
          </cell>
          <cell r="F211">
            <v>2</v>
          </cell>
          <cell r="G211">
            <v>3</v>
          </cell>
          <cell r="H211">
            <v>5</v>
          </cell>
        </row>
        <row r="212">
          <cell r="A212">
            <v>211</v>
          </cell>
          <cell r="B212">
            <v>210</v>
          </cell>
          <cell r="C212">
            <v>0.1212</v>
          </cell>
          <cell r="D212">
            <v>0.5</v>
          </cell>
          <cell r="E212">
            <v>0.28360000000000002</v>
          </cell>
          <cell r="F212">
            <v>1</v>
          </cell>
          <cell r="G212">
            <v>0</v>
          </cell>
          <cell r="H212">
            <v>1</v>
          </cell>
        </row>
        <row r="213">
          <cell r="A213">
            <v>212</v>
          </cell>
          <cell r="B213">
            <v>211</v>
          </cell>
          <cell r="C213">
            <v>0.1212</v>
          </cell>
          <cell r="D213">
            <v>0.5</v>
          </cell>
          <cell r="E213">
            <v>0.22389999999999999</v>
          </cell>
          <cell r="F213">
            <v>0</v>
          </cell>
          <cell r="G213">
            <v>3</v>
          </cell>
          <cell r="H213">
            <v>3</v>
          </cell>
        </row>
        <row r="214">
          <cell r="A214">
            <v>213</v>
          </cell>
          <cell r="B214">
            <v>212</v>
          </cell>
          <cell r="C214">
            <v>0.1212</v>
          </cell>
          <cell r="D214">
            <v>0.5</v>
          </cell>
          <cell r="E214">
            <v>0.22389999999999999</v>
          </cell>
          <cell r="F214">
            <v>0</v>
          </cell>
          <cell r="G214">
            <v>1</v>
          </cell>
          <cell r="H214">
            <v>1</v>
          </cell>
        </row>
        <row r="215">
          <cell r="A215">
            <v>214</v>
          </cell>
          <cell r="B215">
            <v>213</v>
          </cell>
          <cell r="C215">
            <v>0.1212</v>
          </cell>
          <cell r="D215">
            <v>0.54</v>
          </cell>
          <cell r="E215">
            <v>0.1343</v>
          </cell>
          <cell r="F215">
            <v>1</v>
          </cell>
          <cell r="G215">
            <v>2</v>
          </cell>
          <cell r="H215">
            <v>3</v>
          </cell>
        </row>
        <row r="216">
          <cell r="A216">
            <v>215</v>
          </cell>
          <cell r="B216">
            <v>214</v>
          </cell>
          <cell r="C216">
            <v>0.1061</v>
          </cell>
          <cell r="D216">
            <v>0.54</v>
          </cell>
          <cell r="E216">
            <v>0.25369999999999998</v>
          </cell>
          <cell r="F216">
            <v>0</v>
          </cell>
          <cell r="G216">
            <v>3</v>
          </cell>
          <cell r="H216">
            <v>3</v>
          </cell>
        </row>
        <row r="217">
          <cell r="A217">
            <v>216</v>
          </cell>
          <cell r="B217">
            <v>215</v>
          </cell>
          <cell r="C217">
            <v>0.1212</v>
          </cell>
          <cell r="D217">
            <v>0.5</v>
          </cell>
          <cell r="E217">
            <v>0.28360000000000002</v>
          </cell>
          <cell r="F217">
            <v>0</v>
          </cell>
          <cell r="G217">
            <v>31</v>
          </cell>
          <cell r="H217">
            <v>31</v>
          </cell>
        </row>
        <row r="218">
          <cell r="A218">
            <v>217</v>
          </cell>
          <cell r="B218">
            <v>216</v>
          </cell>
          <cell r="C218">
            <v>0.1212</v>
          </cell>
          <cell r="D218">
            <v>0.5</v>
          </cell>
          <cell r="E218">
            <v>0.22389999999999999</v>
          </cell>
          <cell r="F218">
            <v>2</v>
          </cell>
          <cell r="G218">
            <v>75</v>
          </cell>
          <cell r="H218">
            <v>77</v>
          </cell>
        </row>
        <row r="219">
          <cell r="A219">
            <v>218</v>
          </cell>
          <cell r="B219">
            <v>217</v>
          </cell>
          <cell r="C219">
            <v>0.1212</v>
          </cell>
          <cell r="D219">
            <v>0.5</v>
          </cell>
          <cell r="E219">
            <v>0.28360000000000002</v>
          </cell>
          <cell r="F219">
            <v>4</v>
          </cell>
          <cell r="G219">
            <v>184</v>
          </cell>
          <cell r="H219">
            <v>188</v>
          </cell>
        </row>
        <row r="220">
          <cell r="A220">
            <v>219</v>
          </cell>
          <cell r="B220">
            <v>218</v>
          </cell>
          <cell r="C220">
            <v>0.1212</v>
          </cell>
          <cell r="D220">
            <v>0.5</v>
          </cell>
          <cell r="E220">
            <v>0.25369999999999998</v>
          </cell>
          <cell r="F220">
            <v>2</v>
          </cell>
          <cell r="G220">
            <v>92</v>
          </cell>
          <cell r="H220">
            <v>94</v>
          </cell>
        </row>
        <row r="221">
          <cell r="A221">
            <v>220</v>
          </cell>
          <cell r="B221">
            <v>219</v>
          </cell>
          <cell r="C221">
            <v>0.1212</v>
          </cell>
          <cell r="D221">
            <v>0.5</v>
          </cell>
          <cell r="E221">
            <v>0.29849999999999999</v>
          </cell>
          <cell r="F221">
            <v>0</v>
          </cell>
          <cell r="G221">
            <v>31</v>
          </cell>
          <cell r="H221">
            <v>31</v>
          </cell>
        </row>
        <row r="222">
          <cell r="A222">
            <v>221</v>
          </cell>
          <cell r="B222">
            <v>220</v>
          </cell>
          <cell r="C222">
            <v>0.13639999999999999</v>
          </cell>
          <cell r="D222">
            <v>0.47</v>
          </cell>
          <cell r="E222">
            <v>0.28360000000000002</v>
          </cell>
          <cell r="F222">
            <v>2</v>
          </cell>
          <cell r="G222">
            <v>28</v>
          </cell>
          <cell r="H222">
            <v>30</v>
          </cell>
        </row>
        <row r="223">
          <cell r="A223">
            <v>222</v>
          </cell>
          <cell r="B223">
            <v>221</v>
          </cell>
          <cell r="C223">
            <v>0.18179999999999999</v>
          </cell>
          <cell r="D223">
            <v>0.4</v>
          </cell>
          <cell r="E223">
            <v>0.28360000000000002</v>
          </cell>
          <cell r="F223">
            <v>5</v>
          </cell>
          <cell r="G223">
            <v>47</v>
          </cell>
          <cell r="H223">
            <v>52</v>
          </cell>
        </row>
        <row r="224">
          <cell r="A224">
            <v>223</v>
          </cell>
          <cell r="B224">
            <v>222</v>
          </cell>
          <cell r="C224">
            <v>0.18179999999999999</v>
          </cell>
          <cell r="D224">
            <v>0.4</v>
          </cell>
          <cell r="E224">
            <v>0.28360000000000002</v>
          </cell>
          <cell r="F224">
            <v>4</v>
          </cell>
          <cell r="G224">
            <v>50</v>
          </cell>
          <cell r="H224">
            <v>54</v>
          </cell>
        </row>
        <row r="225">
          <cell r="A225">
            <v>224</v>
          </cell>
          <cell r="B225">
            <v>223</v>
          </cell>
          <cell r="C225">
            <v>0.19700000000000001</v>
          </cell>
          <cell r="D225">
            <v>0.4</v>
          </cell>
          <cell r="E225">
            <v>0.22389999999999999</v>
          </cell>
          <cell r="F225">
            <v>0</v>
          </cell>
          <cell r="G225">
            <v>47</v>
          </cell>
          <cell r="H225">
            <v>47</v>
          </cell>
        </row>
        <row r="226">
          <cell r="A226">
            <v>225</v>
          </cell>
          <cell r="B226">
            <v>224</v>
          </cell>
          <cell r="C226">
            <v>0.19700000000000001</v>
          </cell>
          <cell r="D226">
            <v>0.4</v>
          </cell>
          <cell r="E226">
            <v>0.22389999999999999</v>
          </cell>
          <cell r="F226">
            <v>2</v>
          </cell>
          <cell r="G226">
            <v>43</v>
          </cell>
          <cell r="H226">
            <v>45</v>
          </cell>
        </row>
        <row r="227">
          <cell r="A227">
            <v>226</v>
          </cell>
          <cell r="B227">
            <v>225</v>
          </cell>
          <cell r="C227">
            <v>0.21210000000000001</v>
          </cell>
          <cell r="D227">
            <v>0.4</v>
          </cell>
          <cell r="E227">
            <v>0.1343</v>
          </cell>
          <cell r="F227">
            <v>4</v>
          </cell>
          <cell r="G227">
            <v>70</v>
          </cell>
          <cell r="H227">
            <v>74</v>
          </cell>
        </row>
        <row r="228">
          <cell r="A228">
            <v>227</v>
          </cell>
          <cell r="B228">
            <v>226</v>
          </cell>
          <cell r="C228">
            <v>0.2273</v>
          </cell>
          <cell r="D228">
            <v>0.4</v>
          </cell>
          <cell r="E228">
            <v>0.1045</v>
          </cell>
          <cell r="F228">
            <v>4</v>
          </cell>
          <cell r="G228">
            <v>174</v>
          </cell>
          <cell r="H228">
            <v>178</v>
          </cell>
        </row>
        <row r="229">
          <cell r="A229">
            <v>228</v>
          </cell>
          <cell r="B229">
            <v>227</v>
          </cell>
          <cell r="C229">
            <v>0.19700000000000001</v>
          </cell>
          <cell r="D229">
            <v>0.4</v>
          </cell>
          <cell r="E229">
            <v>0.22389999999999999</v>
          </cell>
          <cell r="F229">
            <v>1</v>
          </cell>
          <cell r="G229">
            <v>154</v>
          </cell>
          <cell r="H229">
            <v>155</v>
          </cell>
        </row>
        <row r="230">
          <cell r="A230">
            <v>229</v>
          </cell>
          <cell r="B230">
            <v>228</v>
          </cell>
          <cell r="C230">
            <v>0.16669999999999999</v>
          </cell>
          <cell r="D230">
            <v>0.47</v>
          </cell>
          <cell r="E230">
            <v>0.16420000000000001</v>
          </cell>
          <cell r="F230">
            <v>3</v>
          </cell>
          <cell r="G230">
            <v>92</v>
          </cell>
          <cell r="H230">
            <v>95</v>
          </cell>
        </row>
        <row r="231">
          <cell r="A231">
            <v>230</v>
          </cell>
          <cell r="B231">
            <v>229</v>
          </cell>
          <cell r="C231">
            <v>0.16669999999999999</v>
          </cell>
          <cell r="D231">
            <v>0.5</v>
          </cell>
          <cell r="E231">
            <v>0.16420000000000001</v>
          </cell>
          <cell r="F231">
            <v>1</v>
          </cell>
          <cell r="G231">
            <v>73</v>
          </cell>
          <cell r="H231">
            <v>74</v>
          </cell>
        </row>
        <row r="232">
          <cell r="A232">
            <v>231</v>
          </cell>
          <cell r="B232">
            <v>230</v>
          </cell>
          <cell r="C232">
            <v>0.13639999999999999</v>
          </cell>
          <cell r="D232">
            <v>0.59</v>
          </cell>
          <cell r="E232">
            <v>0.19400000000000001</v>
          </cell>
          <cell r="F232">
            <v>1</v>
          </cell>
          <cell r="G232">
            <v>37</v>
          </cell>
          <cell r="H232">
            <v>38</v>
          </cell>
        </row>
        <row r="233">
          <cell r="A233">
            <v>232</v>
          </cell>
          <cell r="B233">
            <v>231</v>
          </cell>
          <cell r="C233">
            <v>0.1515</v>
          </cell>
          <cell r="D233">
            <v>0.59</v>
          </cell>
          <cell r="E233">
            <v>0.16420000000000001</v>
          </cell>
          <cell r="F233">
            <v>2</v>
          </cell>
          <cell r="G233">
            <v>22</v>
          </cell>
          <cell r="H233">
            <v>24</v>
          </cell>
        </row>
        <row r="234">
          <cell r="A234">
            <v>233</v>
          </cell>
          <cell r="B234">
            <v>232</v>
          </cell>
          <cell r="C234">
            <v>0.1515</v>
          </cell>
          <cell r="D234">
            <v>0.59</v>
          </cell>
          <cell r="E234">
            <v>0.16420000000000001</v>
          </cell>
          <cell r="F234">
            <v>0</v>
          </cell>
          <cell r="G234">
            <v>18</v>
          </cell>
          <cell r="H234">
            <v>18</v>
          </cell>
        </row>
        <row r="235">
          <cell r="A235">
            <v>234</v>
          </cell>
          <cell r="B235">
            <v>233</v>
          </cell>
          <cell r="C235">
            <v>0.16669999999999999</v>
          </cell>
          <cell r="D235">
            <v>0.59</v>
          </cell>
          <cell r="E235">
            <v>0.1045</v>
          </cell>
          <cell r="F235">
            <v>2</v>
          </cell>
          <cell r="G235">
            <v>10</v>
          </cell>
          <cell r="H235">
            <v>12</v>
          </cell>
        </row>
        <row r="236">
          <cell r="A236">
            <v>235</v>
          </cell>
          <cell r="B236">
            <v>234</v>
          </cell>
          <cell r="C236">
            <v>0.1515</v>
          </cell>
          <cell r="D236">
            <v>0.59</v>
          </cell>
          <cell r="E236">
            <v>0.16420000000000001</v>
          </cell>
          <cell r="F236">
            <v>0</v>
          </cell>
          <cell r="G236">
            <v>3</v>
          </cell>
          <cell r="H236">
            <v>3</v>
          </cell>
        </row>
        <row r="237">
          <cell r="A237">
            <v>236</v>
          </cell>
          <cell r="B237">
            <v>235</v>
          </cell>
          <cell r="C237">
            <v>0.1515</v>
          </cell>
          <cell r="D237">
            <v>0.55000000000000004</v>
          </cell>
          <cell r="E237">
            <v>0.19400000000000001</v>
          </cell>
          <cell r="F237">
            <v>0</v>
          </cell>
          <cell r="G237">
            <v>3</v>
          </cell>
          <cell r="H237">
            <v>3</v>
          </cell>
        </row>
        <row r="238">
          <cell r="A238">
            <v>237</v>
          </cell>
          <cell r="B238">
            <v>236</v>
          </cell>
          <cell r="C238">
            <v>0.18179999999999999</v>
          </cell>
          <cell r="D238">
            <v>0.55000000000000004</v>
          </cell>
          <cell r="E238">
            <v>0.1343</v>
          </cell>
          <cell r="F238">
            <v>0</v>
          </cell>
          <cell r="G238">
            <v>6</v>
          </cell>
          <cell r="H238">
            <v>6</v>
          </cell>
        </row>
        <row r="239">
          <cell r="A239">
            <v>238</v>
          </cell>
          <cell r="B239">
            <v>237</v>
          </cell>
          <cell r="C239">
            <v>0.18179999999999999</v>
          </cell>
          <cell r="D239">
            <v>0.55000000000000004</v>
          </cell>
          <cell r="E239">
            <v>0.1343</v>
          </cell>
          <cell r="F239">
            <v>0</v>
          </cell>
          <cell r="G239">
            <v>27</v>
          </cell>
          <cell r="H239">
            <v>27</v>
          </cell>
        </row>
        <row r="240">
          <cell r="A240">
            <v>239</v>
          </cell>
          <cell r="B240">
            <v>238</v>
          </cell>
          <cell r="C240">
            <v>0.2273</v>
          </cell>
          <cell r="D240">
            <v>0.55000000000000004</v>
          </cell>
          <cell r="E240">
            <v>0</v>
          </cell>
          <cell r="F240">
            <v>2</v>
          </cell>
          <cell r="G240">
            <v>97</v>
          </cell>
          <cell r="H240">
            <v>99</v>
          </cell>
        </row>
        <row r="241">
          <cell r="A241">
            <v>240</v>
          </cell>
          <cell r="B241">
            <v>239</v>
          </cell>
          <cell r="C241">
            <v>0.21210000000000001</v>
          </cell>
          <cell r="D241">
            <v>0.51</v>
          </cell>
          <cell r="E241">
            <v>8.9599999999999999E-2</v>
          </cell>
          <cell r="F241">
            <v>3</v>
          </cell>
          <cell r="G241">
            <v>214</v>
          </cell>
          <cell r="H241">
            <v>217</v>
          </cell>
        </row>
        <row r="242">
          <cell r="A242">
            <v>241</v>
          </cell>
          <cell r="B242">
            <v>240</v>
          </cell>
          <cell r="C242">
            <v>0.19700000000000001</v>
          </cell>
          <cell r="D242">
            <v>0.51</v>
          </cell>
          <cell r="E242">
            <v>0.16420000000000001</v>
          </cell>
          <cell r="F242">
            <v>3</v>
          </cell>
          <cell r="G242">
            <v>127</v>
          </cell>
          <cell r="H242">
            <v>130</v>
          </cell>
        </row>
        <row r="243">
          <cell r="A243">
            <v>242</v>
          </cell>
          <cell r="B243">
            <v>241</v>
          </cell>
          <cell r="C243">
            <v>0.21210000000000001</v>
          </cell>
          <cell r="D243">
            <v>0.51</v>
          </cell>
          <cell r="E243">
            <v>0.16420000000000001</v>
          </cell>
          <cell r="F243">
            <v>3</v>
          </cell>
          <cell r="G243">
            <v>51</v>
          </cell>
          <cell r="H243">
            <v>54</v>
          </cell>
        </row>
        <row r="244">
          <cell r="A244">
            <v>243</v>
          </cell>
          <cell r="B244">
            <v>242</v>
          </cell>
          <cell r="C244">
            <v>0.21210000000000001</v>
          </cell>
          <cell r="D244">
            <v>0.47</v>
          </cell>
          <cell r="E244">
            <v>0.1343</v>
          </cell>
          <cell r="F244">
            <v>4</v>
          </cell>
          <cell r="G244">
            <v>31</v>
          </cell>
          <cell r="H244">
            <v>35</v>
          </cell>
        </row>
        <row r="245">
          <cell r="A245">
            <v>244</v>
          </cell>
          <cell r="B245">
            <v>243</v>
          </cell>
          <cell r="C245">
            <v>0.2273</v>
          </cell>
          <cell r="D245">
            <v>0.51</v>
          </cell>
          <cell r="E245">
            <v>0.1045</v>
          </cell>
          <cell r="F245">
            <v>2</v>
          </cell>
          <cell r="G245">
            <v>55</v>
          </cell>
          <cell r="H245">
            <v>57</v>
          </cell>
        </row>
        <row r="246">
          <cell r="A246">
            <v>245</v>
          </cell>
          <cell r="B246">
            <v>244</v>
          </cell>
          <cell r="C246">
            <v>0.2273</v>
          </cell>
          <cell r="D246">
            <v>0.59</v>
          </cell>
          <cell r="E246">
            <v>8.9599999999999999E-2</v>
          </cell>
          <cell r="F246">
            <v>6</v>
          </cell>
          <cell r="G246">
            <v>46</v>
          </cell>
          <cell r="H246">
            <v>52</v>
          </cell>
        </row>
        <row r="247">
          <cell r="A247">
            <v>246</v>
          </cell>
          <cell r="B247">
            <v>245</v>
          </cell>
          <cell r="C247">
            <v>0.2273</v>
          </cell>
          <cell r="D247">
            <v>0.59</v>
          </cell>
          <cell r="E247">
            <v>8.9599999999999999E-2</v>
          </cell>
          <cell r="F247">
            <v>3</v>
          </cell>
          <cell r="G247">
            <v>60</v>
          </cell>
          <cell r="H247">
            <v>63</v>
          </cell>
        </row>
        <row r="248">
          <cell r="A248">
            <v>247</v>
          </cell>
          <cell r="B248">
            <v>246</v>
          </cell>
          <cell r="C248">
            <v>0.19700000000000001</v>
          </cell>
          <cell r="D248">
            <v>0.8</v>
          </cell>
          <cell r="E248">
            <v>8.9599999999999999E-2</v>
          </cell>
          <cell r="F248">
            <v>2</v>
          </cell>
          <cell r="G248">
            <v>45</v>
          </cell>
          <cell r="H248">
            <v>47</v>
          </cell>
        </row>
        <row r="249">
          <cell r="A249">
            <v>248</v>
          </cell>
          <cell r="B249">
            <v>247</v>
          </cell>
          <cell r="C249">
            <v>0.1515</v>
          </cell>
          <cell r="D249">
            <v>0.86</v>
          </cell>
          <cell r="E249">
            <v>0.22389999999999999</v>
          </cell>
          <cell r="F249">
            <v>4</v>
          </cell>
          <cell r="G249">
            <v>72</v>
          </cell>
          <cell r="H249">
            <v>76</v>
          </cell>
        </row>
        <row r="250">
          <cell r="A250">
            <v>249</v>
          </cell>
          <cell r="B250">
            <v>248</v>
          </cell>
          <cell r="C250">
            <v>0.1515</v>
          </cell>
          <cell r="D250">
            <v>0.86</v>
          </cell>
          <cell r="E250">
            <v>0.22389999999999999</v>
          </cell>
          <cell r="F250">
            <v>6</v>
          </cell>
          <cell r="G250">
            <v>130</v>
          </cell>
          <cell r="H250">
            <v>136</v>
          </cell>
        </row>
        <row r="251">
          <cell r="A251">
            <v>250</v>
          </cell>
          <cell r="B251">
            <v>249</v>
          </cell>
          <cell r="C251">
            <v>0.18179999999999999</v>
          </cell>
          <cell r="D251">
            <v>0.93</v>
          </cell>
          <cell r="E251">
            <v>0.1045</v>
          </cell>
          <cell r="F251">
            <v>1</v>
          </cell>
          <cell r="G251">
            <v>94</v>
          </cell>
          <cell r="H251">
            <v>95</v>
          </cell>
        </row>
        <row r="252">
          <cell r="A252">
            <v>251</v>
          </cell>
          <cell r="B252">
            <v>250</v>
          </cell>
          <cell r="C252">
            <v>0.2273</v>
          </cell>
          <cell r="D252">
            <v>0.93</v>
          </cell>
          <cell r="E252">
            <v>0</v>
          </cell>
          <cell r="F252">
            <v>0</v>
          </cell>
          <cell r="G252">
            <v>51</v>
          </cell>
          <cell r="H252">
            <v>51</v>
          </cell>
        </row>
        <row r="253">
          <cell r="A253">
            <v>252</v>
          </cell>
          <cell r="B253">
            <v>251</v>
          </cell>
          <cell r="C253">
            <v>0.1515</v>
          </cell>
          <cell r="D253">
            <v>0.93</v>
          </cell>
          <cell r="E253">
            <v>0.19400000000000001</v>
          </cell>
          <cell r="F253">
            <v>0</v>
          </cell>
          <cell r="G253">
            <v>32</v>
          </cell>
          <cell r="H253">
            <v>32</v>
          </cell>
        </row>
        <row r="254">
          <cell r="A254">
            <v>253</v>
          </cell>
          <cell r="B254">
            <v>252</v>
          </cell>
          <cell r="C254">
            <v>0.19700000000000001</v>
          </cell>
          <cell r="D254">
            <v>0.86</v>
          </cell>
          <cell r="E254">
            <v>8.9599999999999999E-2</v>
          </cell>
          <cell r="F254">
            <v>0</v>
          </cell>
          <cell r="G254">
            <v>20</v>
          </cell>
          <cell r="H254">
            <v>20</v>
          </cell>
        </row>
        <row r="255">
          <cell r="A255">
            <v>254</v>
          </cell>
          <cell r="B255">
            <v>253</v>
          </cell>
          <cell r="C255">
            <v>0.18179999999999999</v>
          </cell>
          <cell r="D255">
            <v>0.93</v>
          </cell>
          <cell r="E255">
            <v>0.1045</v>
          </cell>
          <cell r="F255">
            <v>1</v>
          </cell>
          <cell r="G255">
            <v>28</v>
          </cell>
          <cell r="H255">
            <v>29</v>
          </cell>
        </row>
        <row r="256">
          <cell r="A256">
            <v>255</v>
          </cell>
          <cell r="B256">
            <v>254</v>
          </cell>
          <cell r="C256">
            <v>0.19700000000000001</v>
          </cell>
          <cell r="D256">
            <v>0.93</v>
          </cell>
          <cell r="E256">
            <v>8.9599999999999999E-2</v>
          </cell>
          <cell r="F256">
            <v>1</v>
          </cell>
          <cell r="G256">
            <v>18</v>
          </cell>
          <cell r="H256">
            <v>19</v>
          </cell>
        </row>
        <row r="257">
          <cell r="A257">
            <v>256</v>
          </cell>
          <cell r="B257">
            <v>255</v>
          </cell>
          <cell r="C257">
            <v>0.19700000000000001</v>
          </cell>
          <cell r="D257">
            <v>0.86</v>
          </cell>
          <cell r="E257">
            <v>8.9599999999999999E-2</v>
          </cell>
          <cell r="F257">
            <v>0</v>
          </cell>
          <cell r="G257">
            <v>7</v>
          </cell>
          <cell r="H257">
            <v>7</v>
          </cell>
        </row>
        <row r="258">
          <cell r="A258">
            <v>257</v>
          </cell>
          <cell r="B258">
            <v>256</v>
          </cell>
          <cell r="C258">
            <v>0.18179999999999999</v>
          </cell>
          <cell r="D258">
            <v>0.86</v>
          </cell>
          <cell r="E258">
            <v>0.1045</v>
          </cell>
          <cell r="F258">
            <v>0</v>
          </cell>
          <cell r="G258">
            <v>6</v>
          </cell>
          <cell r="H258">
            <v>6</v>
          </cell>
        </row>
        <row r="259">
          <cell r="A259">
            <v>258</v>
          </cell>
          <cell r="B259">
            <v>257</v>
          </cell>
          <cell r="C259">
            <v>0.1515</v>
          </cell>
          <cell r="D259">
            <v>0.86</v>
          </cell>
          <cell r="E259">
            <v>0.1343</v>
          </cell>
          <cell r="F259">
            <v>0</v>
          </cell>
          <cell r="G259">
            <v>1</v>
          </cell>
          <cell r="H259">
            <v>1</v>
          </cell>
        </row>
        <row r="260">
          <cell r="A260">
            <v>259</v>
          </cell>
          <cell r="B260">
            <v>258</v>
          </cell>
          <cell r="C260">
            <v>0.1515</v>
          </cell>
          <cell r="D260">
            <v>0.86</v>
          </cell>
          <cell r="E260">
            <v>0.16420000000000001</v>
          </cell>
          <cell r="F260">
            <v>0</v>
          </cell>
          <cell r="G260">
            <v>5</v>
          </cell>
          <cell r="H260">
            <v>5</v>
          </cell>
        </row>
        <row r="261">
          <cell r="A261">
            <v>260</v>
          </cell>
          <cell r="B261">
            <v>259</v>
          </cell>
          <cell r="C261">
            <v>0.1515</v>
          </cell>
          <cell r="D261">
            <v>0.93</v>
          </cell>
          <cell r="E261">
            <v>0.1343</v>
          </cell>
          <cell r="F261">
            <v>0</v>
          </cell>
          <cell r="G261">
            <v>16</v>
          </cell>
          <cell r="H261">
            <v>16</v>
          </cell>
        </row>
        <row r="262">
          <cell r="A262">
            <v>261</v>
          </cell>
          <cell r="B262">
            <v>260</v>
          </cell>
          <cell r="C262">
            <v>0.1515</v>
          </cell>
          <cell r="D262">
            <v>0.69</v>
          </cell>
          <cell r="E262">
            <v>0.1343</v>
          </cell>
          <cell r="F262">
            <v>0</v>
          </cell>
          <cell r="G262">
            <v>54</v>
          </cell>
          <cell r="H262">
            <v>54</v>
          </cell>
        </row>
        <row r="263">
          <cell r="A263">
            <v>262</v>
          </cell>
          <cell r="B263">
            <v>261</v>
          </cell>
          <cell r="C263">
            <v>0.16669999999999999</v>
          </cell>
          <cell r="D263">
            <v>0.59</v>
          </cell>
          <cell r="E263">
            <v>0.16420000000000001</v>
          </cell>
          <cell r="F263">
            <v>3</v>
          </cell>
          <cell r="G263">
            <v>125</v>
          </cell>
          <cell r="H263">
            <v>128</v>
          </cell>
        </row>
        <row r="264">
          <cell r="A264">
            <v>263</v>
          </cell>
          <cell r="B264">
            <v>262</v>
          </cell>
          <cell r="C264">
            <v>0.13639999999999999</v>
          </cell>
          <cell r="D264">
            <v>0.59</v>
          </cell>
          <cell r="E264">
            <v>0.32840000000000003</v>
          </cell>
          <cell r="F264">
            <v>3</v>
          </cell>
          <cell r="G264">
            <v>78</v>
          </cell>
          <cell r="H264">
            <v>81</v>
          </cell>
        </row>
        <row r="265">
          <cell r="A265">
            <v>264</v>
          </cell>
          <cell r="B265">
            <v>263</v>
          </cell>
          <cell r="C265">
            <v>0.18179999999999999</v>
          </cell>
          <cell r="D265">
            <v>0.55000000000000004</v>
          </cell>
          <cell r="E265">
            <v>0.22389999999999999</v>
          </cell>
          <cell r="F265">
            <v>0</v>
          </cell>
          <cell r="G265">
            <v>39</v>
          </cell>
          <cell r="H265">
            <v>39</v>
          </cell>
        </row>
        <row r="266">
          <cell r="A266">
            <v>265</v>
          </cell>
          <cell r="B266">
            <v>264</v>
          </cell>
          <cell r="C266">
            <v>0.18179999999999999</v>
          </cell>
          <cell r="D266">
            <v>0.51</v>
          </cell>
          <cell r="E266">
            <v>0.3881</v>
          </cell>
          <cell r="F266">
            <v>3</v>
          </cell>
          <cell r="G266">
            <v>32</v>
          </cell>
          <cell r="H266">
            <v>35</v>
          </cell>
        </row>
        <row r="267">
          <cell r="A267">
            <v>266</v>
          </cell>
          <cell r="B267">
            <v>265</v>
          </cell>
          <cell r="C267">
            <v>0.1515</v>
          </cell>
          <cell r="D267">
            <v>0.47</v>
          </cell>
          <cell r="E267">
            <v>0.58209999999999995</v>
          </cell>
          <cell r="F267">
            <v>3</v>
          </cell>
          <cell r="G267">
            <v>52</v>
          </cell>
          <cell r="H267">
            <v>55</v>
          </cell>
        </row>
        <row r="268">
          <cell r="A268">
            <v>267</v>
          </cell>
          <cell r="B268">
            <v>266</v>
          </cell>
          <cell r="C268">
            <v>0.19700000000000001</v>
          </cell>
          <cell r="D268">
            <v>0.44</v>
          </cell>
          <cell r="E268">
            <v>0.35820000000000002</v>
          </cell>
          <cell r="F268">
            <v>0</v>
          </cell>
          <cell r="G268">
            <v>49</v>
          </cell>
          <cell r="H268">
            <v>49</v>
          </cell>
        </row>
        <row r="269">
          <cell r="A269">
            <v>268</v>
          </cell>
          <cell r="B269">
            <v>267</v>
          </cell>
          <cell r="C269">
            <v>0.18179999999999999</v>
          </cell>
          <cell r="D269">
            <v>0.47</v>
          </cell>
          <cell r="E269">
            <v>0.32840000000000003</v>
          </cell>
          <cell r="F269">
            <v>0</v>
          </cell>
          <cell r="G269">
            <v>44</v>
          </cell>
          <cell r="H269">
            <v>44</v>
          </cell>
        </row>
        <row r="270">
          <cell r="A270">
            <v>269</v>
          </cell>
          <cell r="B270">
            <v>268</v>
          </cell>
          <cell r="C270">
            <v>0.16669999999999999</v>
          </cell>
          <cell r="D270">
            <v>0.47</v>
          </cell>
          <cell r="E270">
            <v>0.41789999999999999</v>
          </cell>
          <cell r="F270">
            <v>1</v>
          </cell>
          <cell r="G270">
            <v>48</v>
          </cell>
          <cell r="H270">
            <v>49</v>
          </cell>
        </row>
        <row r="271">
          <cell r="A271">
            <v>270</v>
          </cell>
          <cell r="B271">
            <v>269</v>
          </cell>
          <cell r="C271">
            <v>0.19700000000000001</v>
          </cell>
          <cell r="D271">
            <v>0.44</v>
          </cell>
          <cell r="E271">
            <v>0.32840000000000003</v>
          </cell>
          <cell r="F271">
            <v>5</v>
          </cell>
          <cell r="G271">
            <v>63</v>
          </cell>
          <cell r="H271">
            <v>68</v>
          </cell>
        </row>
        <row r="272">
          <cell r="A272">
            <v>271</v>
          </cell>
          <cell r="B272">
            <v>270</v>
          </cell>
          <cell r="C272">
            <v>0.18179999999999999</v>
          </cell>
          <cell r="D272">
            <v>0.47</v>
          </cell>
          <cell r="E272">
            <v>0.35820000000000002</v>
          </cell>
          <cell r="F272">
            <v>0</v>
          </cell>
          <cell r="G272">
            <v>139</v>
          </cell>
          <cell r="H272">
            <v>139</v>
          </cell>
        </row>
        <row r="273">
          <cell r="A273">
            <v>272</v>
          </cell>
          <cell r="B273">
            <v>271</v>
          </cell>
          <cell r="C273">
            <v>0.1515</v>
          </cell>
          <cell r="D273">
            <v>0.47</v>
          </cell>
          <cell r="E273">
            <v>0.52239999999999998</v>
          </cell>
          <cell r="F273">
            <v>2</v>
          </cell>
          <cell r="G273">
            <v>135</v>
          </cell>
          <cell r="H273">
            <v>137</v>
          </cell>
        </row>
        <row r="274">
          <cell r="A274">
            <v>273</v>
          </cell>
          <cell r="B274">
            <v>272</v>
          </cell>
          <cell r="C274">
            <v>0.1515</v>
          </cell>
          <cell r="D274">
            <v>0.47</v>
          </cell>
          <cell r="E274">
            <v>0.41789999999999999</v>
          </cell>
          <cell r="F274">
            <v>1</v>
          </cell>
          <cell r="G274">
            <v>82</v>
          </cell>
          <cell r="H274">
            <v>83</v>
          </cell>
        </row>
        <row r="275">
          <cell r="A275">
            <v>274</v>
          </cell>
          <cell r="B275">
            <v>273</v>
          </cell>
          <cell r="C275">
            <v>0.13639999999999999</v>
          </cell>
          <cell r="D275">
            <v>0.5</v>
          </cell>
          <cell r="E275">
            <v>0.32840000000000003</v>
          </cell>
          <cell r="F275">
            <v>2</v>
          </cell>
          <cell r="G275">
            <v>54</v>
          </cell>
          <cell r="H275">
            <v>56</v>
          </cell>
        </row>
        <row r="276">
          <cell r="A276">
            <v>275</v>
          </cell>
          <cell r="B276">
            <v>274</v>
          </cell>
          <cell r="C276">
            <v>0.13639999999999999</v>
          </cell>
          <cell r="D276">
            <v>0.55000000000000004</v>
          </cell>
          <cell r="E276">
            <v>0.32840000000000003</v>
          </cell>
          <cell r="F276">
            <v>0</v>
          </cell>
          <cell r="G276">
            <v>57</v>
          </cell>
          <cell r="H276">
            <v>57</v>
          </cell>
        </row>
        <row r="277">
          <cell r="A277">
            <v>276</v>
          </cell>
          <cell r="B277">
            <v>275</v>
          </cell>
          <cell r="C277">
            <v>0.1212</v>
          </cell>
          <cell r="D277">
            <v>0.55000000000000004</v>
          </cell>
          <cell r="E277">
            <v>0.44779999999999998</v>
          </cell>
          <cell r="F277">
            <v>1</v>
          </cell>
          <cell r="G277">
            <v>32</v>
          </cell>
          <cell r="H277">
            <v>33</v>
          </cell>
        </row>
        <row r="278">
          <cell r="A278">
            <v>277</v>
          </cell>
          <cell r="B278">
            <v>276</v>
          </cell>
          <cell r="C278">
            <v>0.1061</v>
          </cell>
          <cell r="D278">
            <v>0.59</v>
          </cell>
          <cell r="E278">
            <v>0.41789999999999999</v>
          </cell>
          <cell r="F278">
            <v>1</v>
          </cell>
          <cell r="G278">
            <v>19</v>
          </cell>
          <cell r="H278">
            <v>20</v>
          </cell>
        </row>
        <row r="279">
          <cell r="A279">
            <v>278</v>
          </cell>
          <cell r="B279">
            <v>277</v>
          </cell>
          <cell r="C279">
            <v>0.1212</v>
          </cell>
          <cell r="D279">
            <v>0.59</v>
          </cell>
          <cell r="E279">
            <v>0.28360000000000002</v>
          </cell>
          <cell r="F279">
            <v>1</v>
          </cell>
          <cell r="G279">
            <v>6</v>
          </cell>
          <cell r="H279">
            <v>7</v>
          </cell>
        </row>
        <row r="280">
          <cell r="A280">
            <v>279</v>
          </cell>
          <cell r="B280">
            <v>278</v>
          </cell>
          <cell r="C280">
            <v>0.1212</v>
          </cell>
          <cell r="D280">
            <v>0.5</v>
          </cell>
          <cell r="E280">
            <v>0.28360000000000002</v>
          </cell>
          <cell r="F280">
            <v>0</v>
          </cell>
          <cell r="G280">
            <v>2</v>
          </cell>
          <cell r="H280">
            <v>2</v>
          </cell>
        </row>
        <row r="281">
          <cell r="A281">
            <v>280</v>
          </cell>
          <cell r="B281">
            <v>279</v>
          </cell>
          <cell r="C281">
            <v>0.1212</v>
          </cell>
          <cell r="D281">
            <v>0.5</v>
          </cell>
          <cell r="E281">
            <v>0.35820000000000002</v>
          </cell>
          <cell r="F281">
            <v>0</v>
          </cell>
          <cell r="G281">
            <v>2</v>
          </cell>
          <cell r="H281">
            <v>2</v>
          </cell>
        </row>
        <row r="282">
          <cell r="A282">
            <v>281</v>
          </cell>
          <cell r="B282">
            <v>280</v>
          </cell>
          <cell r="C282">
            <v>0.1212</v>
          </cell>
          <cell r="D282">
            <v>0.5</v>
          </cell>
          <cell r="E282">
            <v>0.32840000000000003</v>
          </cell>
          <cell r="F282">
            <v>0</v>
          </cell>
          <cell r="G282">
            <v>3</v>
          </cell>
          <cell r="H282">
            <v>3</v>
          </cell>
        </row>
        <row r="283">
          <cell r="A283">
            <v>282</v>
          </cell>
          <cell r="B283">
            <v>281</v>
          </cell>
          <cell r="C283">
            <v>0.1212</v>
          </cell>
          <cell r="D283">
            <v>0.5</v>
          </cell>
          <cell r="E283">
            <v>0.25369999999999998</v>
          </cell>
          <cell r="F283">
            <v>0</v>
          </cell>
          <cell r="G283">
            <v>4</v>
          </cell>
          <cell r="H283">
            <v>4</v>
          </cell>
        </row>
        <row r="284">
          <cell r="A284">
            <v>283</v>
          </cell>
          <cell r="B284">
            <v>282</v>
          </cell>
          <cell r="C284">
            <v>0.1212</v>
          </cell>
          <cell r="D284">
            <v>0.5</v>
          </cell>
          <cell r="E284">
            <v>0.29849999999999999</v>
          </cell>
          <cell r="F284">
            <v>0</v>
          </cell>
          <cell r="G284">
            <v>3</v>
          </cell>
          <cell r="H284">
            <v>3</v>
          </cell>
        </row>
        <row r="285">
          <cell r="A285">
            <v>284</v>
          </cell>
          <cell r="B285">
            <v>283</v>
          </cell>
          <cell r="C285">
            <v>0.1515</v>
          </cell>
          <cell r="D285">
            <v>0.54</v>
          </cell>
          <cell r="E285">
            <v>0.1343</v>
          </cell>
          <cell r="F285">
            <v>0</v>
          </cell>
          <cell r="G285">
            <v>28</v>
          </cell>
          <cell r="H285">
            <v>28</v>
          </cell>
        </row>
        <row r="286">
          <cell r="A286">
            <v>285</v>
          </cell>
          <cell r="B286">
            <v>284</v>
          </cell>
          <cell r="C286">
            <v>0.1515</v>
          </cell>
          <cell r="D286">
            <v>0.54</v>
          </cell>
          <cell r="E286">
            <v>0.1343</v>
          </cell>
          <cell r="F286">
            <v>0</v>
          </cell>
          <cell r="G286">
            <v>72</v>
          </cell>
          <cell r="H286">
            <v>72</v>
          </cell>
        </row>
        <row r="287">
          <cell r="A287">
            <v>286</v>
          </cell>
          <cell r="B287">
            <v>285</v>
          </cell>
          <cell r="C287">
            <v>0.13639999999999999</v>
          </cell>
          <cell r="D287">
            <v>0.5</v>
          </cell>
          <cell r="E287">
            <v>0.19400000000000001</v>
          </cell>
          <cell r="F287">
            <v>5</v>
          </cell>
          <cell r="G287">
            <v>197</v>
          </cell>
          <cell r="H287">
            <v>202</v>
          </cell>
        </row>
        <row r="288">
          <cell r="A288">
            <v>287</v>
          </cell>
          <cell r="B288">
            <v>286</v>
          </cell>
          <cell r="C288">
            <v>0.1212</v>
          </cell>
          <cell r="D288">
            <v>0.5</v>
          </cell>
          <cell r="E288">
            <v>0.32840000000000003</v>
          </cell>
          <cell r="F288">
            <v>2</v>
          </cell>
          <cell r="G288">
            <v>137</v>
          </cell>
          <cell r="H288">
            <v>139</v>
          </cell>
        </row>
        <row r="289">
          <cell r="A289">
            <v>288</v>
          </cell>
          <cell r="B289">
            <v>287</v>
          </cell>
          <cell r="C289">
            <v>0.13639999999999999</v>
          </cell>
          <cell r="D289">
            <v>0.5</v>
          </cell>
          <cell r="E289">
            <v>0.35820000000000002</v>
          </cell>
          <cell r="F289">
            <v>2</v>
          </cell>
          <cell r="G289">
            <v>36</v>
          </cell>
          <cell r="H289">
            <v>38</v>
          </cell>
        </row>
        <row r="290">
          <cell r="A290">
            <v>289</v>
          </cell>
          <cell r="B290">
            <v>288</v>
          </cell>
          <cell r="C290">
            <v>0.16669999999999999</v>
          </cell>
          <cell r="D290">
            <v>0.44</v>
          </cell>
          <cell r="E290">
            <v>0.44779999999999998</v>
          </cell>
          <cell r="F290">
            <v>4</v>
          </cell>
          <cell r="G290">
            <v>33</v>
          </cell>
          <cell r="H290">
            <v>37</v>
          </cell>
        </row>
        <row r="291">
          <cell r="A291">
            <v>290</v>
          </cell>
          <cell r="B291">
            <v>289</v>
          </cell>
          <cell r="C291">
            <v>0.16669999999999999</v>
          </cell>
          <cell r="D291">
            <v>0.44</v>
          </cell>
          <cell r="E291">
            <v>0.41789999999999999</v>
          </cell>
          <cell r="F291">
            <v>3</v>
          </cell>
          <cell r="G291">
            <v>49</v>
          </cell>
          <cell r="H291">
            <v>52</v>
          </cell>
        </row>
        <row r="292">
          <cell r="A292">
            <v>291</v>
          </cell>
          <cell r="B292">
            <v>290</v>
          </cell>
          <cell r="C292">
            <v>0.19700000000000001</v>
          </cell>
          <cell r="D292">
            <v>0.41</v>
          </cell>
          <cell r="E292">
            <v>0.44779999999999998</v>
          </cell>
          <cell r="F292">
            <v>2</v>
          </cell>
          <cell r="G292">
            <v>81</v>
          </cell>
          <cell r="H292">
            <v>83</v>
          </cell>
        </row>
        <row r="293">
          <cell r="A293">
            <v>292</v>
          </cell>
          <cell r="B293">
            <v>291</v>
          </cell>
          <cell r="C293">
            <v>0.19700000000000001</v>
          </cell>
          <cell r="D293">
            <v>0.41</v>
          </cell>
          <cell r="E293">
            <v>0.3881</v>
          </cell>
          <cell r="F293">
            <v>3</v>
          </cell>
          <cell r="G293">
            <v>39</v>
          </cell>
          <cell r="H293">
            <v>42</v>
          </cell>
        </row>
        <row r="294">
          <cell r="A294">
            <v>293</v>
          </cell>
          <cell r="B294">
            <v>292</v>
          </cell>
          <cell r="C294">
            <v>0.21210000000000001</v>
          </cell>
          <cell r="D294">
            <v>0.38</v>
          </cell>
          <cell r="E294">
            <v>0.29849999999999999</v>
          </cell>
          <cell r="F294">
            <v>5</v>
          </cell>
          <cell r="G294">
            <v>55</v>
          </cell>
          <cell r="H294">
            <v>60</v>
          </cell>
        </row>
        <row r="295">
          <cell r="A295">
            <v>294</v>
          </cell>
          <cell r="B295">
            <v>293</v>
          </cell>
          <cell r="C295">
            <v>0.21210000000000001</v>
          </cell>
          <cell r="D295">
            <v>0.38</v>
          </cell>
          <cell r="E295">
            <v>0.35820000000000002</v>
          </cell>
          <cell r="F295">
            <v>2</v>
          </cell>
          <cell r="G295">
            <v>76</v>
          </cell>
          <cell r="H295">
            <v>78</v>
          </cell>
        </row>
        <row r="296">
          <cell r="A296">
            <v>295</v>
          </cell>
          <cell r="B296">
            <v>294</v>
          </cell>
          <cell r="C296">
            <v>0.18179999999999999</v>
          </cell>
          <cell r="D296">
            <v>0.4</v>
          </cell>
          <cell r="E296">
            <v>0.28360000000000002</v>
          </cell>
          <cell r="F296">
            <v>4</v>
          </cell>
          <cell r="G296">
            <v>158</v>
          </cell>
          <cell r="H296">
            <v>162</v>
          </cell>
        </row>
        <row r="297">
          <cell r="A297">
            <v>296</v>
          </cell>
          <cell r="B297">
            <v>295</v>
          </cell>
          <cell r="C297">
            <v>0.18179999999999999</v>
          </cell>
          <cell r="D297">
            <v>0.4</v>
          </cell>
          <cell r="E297">
            <v>0.32840000000000003</v>
          </cell>
          <cell r="F297">
            <v>3</v>
          </cell>
          <cell r="G297">
            <v>141</v>
          </cell>
          <cell r="H297">
            <v>144</v>
          </cell>
        </row>
        <row r="298">
          <cell r="A298">
            <v>297</v>
          </cell>
          <cell r="B298">
            <v>296</v>
          </cell>
          <cell r="C298">
            <v>0.1515</v>
          </cell>
          <cell r="D298">
            <v>0.47</v>
          </cell>
          <cell r="E298">
            <v>0.25369999999999998</v>
          </cell>
          <cell r="F298">
            <v>1</v>
          </cell>
          <cell r="G298">
            <v>98</v>
          </cell>
          <cell r="H298">
            <v>99</v>
          </cell>
        </row>
        <row r="299">
          <cell r="A299">
            <v>298</v>
          </cell>
          <cell r="B299">
            <v>297</v>
          </cell>
          <cell r="C299">
            <v>0.1515</v>
          </cell>
          <cell r="D299">
            <v>0.47</v>
          </cell>
          <cell r="E299">
            <v>0.22389999999999999</v>
          </cell>
          <cell r="F299">
            <v>0</v>
          </cell>
          <cell r="G299">
            <v>64</v>
          </cell>
          <cell r="H299">
            <v>64</v>
          </cell>
        </row>
        <row r="300">
          <cell r="A300">
            <v>299</v>
          </cell>
          <cell r="B300">
            <v>298</v>
          </cell>
          <cell r="C300">
            <v>0.1212</v>
          </cell>
          <cell r="D300">
            <v>0.46</v>
          </cell>
          <cell r="E300">
            <v>0.29849999999999999</v>
          </cell>
          <cell r="F300">
            <v>0</v>
          </cell>
          <cell r="G300">
            <v>40</v>
          </cell>
          <cell r="H300">
            <v>40</v>
          </cell>
        </row>
        <row r="301">
          <cell r="A301">
            <v>300</v>
          </cell>
          <cell r="B301">
            <v>299</v>
          </cell>
          <cell r="C301">
            <v>0.1212</v>
          </cell>
          <cell r="D301">
            <v>0.46</v>
          </cell>
          <cell r="E301">
            <v>0.32840000000000003</v>
          </cell>
          <cell r="F301">
            <v>0</v>
          </cell>
          <cell r="G301">
            <v>30</v>
          </cell>
          <cell r="H301">
            <v>30</v>
          </cell>
        </row>
        <row r="302">
          <cell r="A302">
            <v>301</v>
          </cell>
          <cell r="B302">
            <v>300</v>
          </cell>
          <cell r="C302">
            <v>0.13639999999999999</v>
          </cell>
          <cell r="D302">
            <v>0.5</v>
          </cell>
          <cell r="E302">
            <v>0.19400000000000001</v>
          </cell>
          <cell r="F302">
            <v>1</v>
          </cell>
          <cell r="G302">
            <v>14</v>
          </cell>
          <cell r="H302">
            <v>15</v>
          </cell>
        </row>
        <row r="303">
          <cell r="A303">
            <v>302</v>
          </cell>
          <cell r="B303">
            <v>301</v>
          </cell>
          <cell r="C303">
            <v>0.13639999999999999</v>
          </cell>
          <cell r="D303">
            <v>0.5</v>
          </cell>
          <cell r="E303">
            <v>0.19400000000000001</v>
          </cell>
          <cell r="F303">
            <v>0</v>
          </cell>
          <cell r="G303">
            <v>14</v>
          </cell>
          <cell r="H303">
            <v>14</v>
          </cell>
        </row>
        <row r="304">
          <cell r="A304">
            <v>303</v>
          </cell>
          <cell r="B304">
            <v>302</v>
          </cell>
          <cell r="C304">
            <v>0.1212</v>
          </cell>
          <cell r="D304">
            <v>0.54</v>
          </cell>
          <cell r="E304">
            <v>0.16420000000000001</v>
          </cell>
          <cell r="F304">
            <v>0</v>
          </cell>
          <cell r="G304">
            <v>5</v>
          </cell>
          <cell r="H304">
            <v>5</v>
          </cell>
        </row>
        <row r="305">
          <cell r="A305">
            <v>304</v>
          </cell>
          <cell r="B305">
            <v>303</v>
          </cell>
          <cell r="C305">
            <v>0.1212</v>
          </cell>
          <cell r="D305">
            <v>0.54</v>
          </cell>
          <cell r="E305">
            <v>0.1343</v>
          </cell>
          <cell r="F305">
            <v>0</v>
          </cell>
          <cell r="G305">
            <v>1</v>
          </cell>
          <cell r="H305">
            <v>1</v>
          </cell>
        </row>
        <row r="306">
          <cell r="A306">
            <v>305</v>
          </cell>
          <cell r="B306">
            <v>304</v>
          </cell>
          <cell r="C306">
            <v>0.13639999999999999</v>
          </cell>
          <cell r="D306">
            <v>0.54</v>
          </cell>
          <cell r="E306">
            <v>0.1045</v>
          </cell>
          <cell r="F306">
            <v>0</v>
          </cell>
          <cell r="G306">
            <v>1</v>
          </cell>
          <cell r="H306">
            <v>1</v>
          </cell>
        </row>
        <row r="307">
          <cell r="A307">
            <v>306</v>
          </cell>
          <cell r="B307">
            <v>305</v>
          </cell>
          <cell r="C307">
            <v>0.13639999999999999</v>
          </cell>
          <cell r="D307">
            <v>0.54</v>
          </cell>
          <cell r="E307">
            <v>8.9599999999999999E-2</v>
          </cell>
          <cell r="F307">
            <v>0</v>
          </cell>
          <cell r="G307">
            <v>8</v>
          </cell>
          <cell r="H307">
            <v>8</v>
          </cell>
        </row>
        <row r="308">
          <cell r="A308">
            <v>307</v>
          </cell>
          <cell r="B308">
            <v>306</v>
          </cell>
          <cell r="C308">
            <v>0.18179999999999999</v>
          </cell>
          <cell r="D308">
            <v>0.54</v>
          </cell>
          <cell r="E308">
            <v>0</v>
          </cell>
          <cell r="F308">
            <v>0</v>
          </cell>
          <cell r="G308">
            <v>17</v>
          </cell>
          <cell r="H308">
            <v>17</v>
          </cell>
        </row>
        <row r="309">
          <cell r="A309">
            <v>308</v>
          </cell>
          <cell r="B309">
            <v>307</v>
          </cell>
          <cell r="C309">
            <v>0.1212</v>
          </cell>
          <cell r="D309">
            <v>0.74</v>
          </cell>
          <cell r="E309">
            <v>0.16420000000000001</v>
          </cell>
          <cell r="F309">
            <v>0</v>
          </cell>
          <cell r="G309">
            <v>70</v>
          </cell>
          <cell r="H309">
            <v>70</v>
          </cell>
        </row>
        <row r="310">
          <cell r="A310">
            <v>309</v>
          </cell>
          <cell r="B310">
            <v>308</v>
          </cell>
          <cell r="C310">
            <v>0.16669999999999999</v>
          </cell>
          <cell r="D310">
            <v>0.68</v>
          </cell>
          <cell r="E310">
            <v>0</v>
          </cell>
          <cell r="F310">
            <v>2</v>
          </cell>
          <cell r="G310">
            <v>156</v>
          </cell>
          <cell r="H310">
            <v>158</v>
          </cell>
        </row>
        <row r="311">
          <cell r="A311">
            <v>310</v>
          </cell>
          <cell r="B311">
            <v>309</v>
          </cell>
          <cell r="C311">
            <v>0.1515</v>
          </cell>
          <cell r="D311">
            <v>0.69</v>
          </cell>
          <cell r="E311">
            <v>0.1343</v>
          </cell>
          <cell r="F311">
            <v>0</v>
          </cell>
          <cell r="G311">
            <v>117</v>
          </cell>
          <cell r="H311">
            <v>117</v>
          </cell>
        </row>
        <row r="312">
          <cell r="A312">
            <v>311</v>
          </cell>
          <cell r="B312">
            <v>310</v>
          </cell>
          <cell r="C312">
            <v>0.18179999999999999</v>
          </cell>
          <cell r="D312">
            <v>0.55000000000000004</v>
          </cell>
          <cell r="E312">
            <v>0.19400000000000001</v>
          </cell>
          <cell r="F312">
            <v>4</v>
          </cell>
          <cell r="G312">
            <v>40</v>
          </cell>
          <cell r="H312">
            <v>44</v>
          </cell>
        </row>
        <row r="313">
          <cell r="A313">
            <v>312</v>
          </cell>
          <cell r="B313">
            <v>311</v>
          </cell>
          <cell r="C313">
            <v>0.16669999999999999</v>
          </cell>
          <cell r="D313">
            <v>0.51</v>
          </cell>
          <cell r="E313">
            <v>0.28360000000000002</v>
          </cell>
          <cell r="F313">
            <v>6</v>
          </cell>
          <cell r="G313">
            <v>47</v>
          </cell>
          <cell r="H313">
            <v>53</v>
          </cell>
        </row>
        <row r="314">
          <cell r="A314">
            <v>313</v>
          </cell>
          <cell r="B314">
            <v>312</v>
          </cell>
          <cell r="C314">
            <v>0.19700000000000001</v>
          </cell>
          <cell r="D314">
            <v>0.44</v>
          </cell>
          <cell r="E314">
            <v>0.25369999999999998</v>
          </cell>
          <cell r="F314">
            <v>2</v>
          </cell>
          <cell r="G314">
            <v>59</v>
          </cell>
          <cell r="H314">
            <v>61</v>
          </cell>
        </row>
        <row r="315">
          <cell r="A315">
            <v>314</v>
          </cell>
          <cell r="B315">
            <v>313</v>
          </cell>
          <cell r="C315">
            <v>0.19700000000000001</v>
          </cell>
          <cell r="D315">
            <v>0.37</v>
          </cell>
          <cell r="E315">
            <v>0.3881</v>
          </cell>
          <cell r="F315">
            <v>4</v>
          </cell>
          <cell r="G315">
            <v>73</v>
          </cell>
          <cell r="H315">
            <v>77</v>
          </cell>
        </row>
        <row r="316">
          <cell r="A316">
            <v>315</v>
          </cell>
          <cell r="B316">
            <v>314</v>
          </cell>
          <cell r="C316">
            <v>0.21210000000000001</v>
          </cell>
          <cell r="D316">
            <v>0.41</v>
          </cell>
          <cell r="E316">
            <v>0.28360000000000002</v>
          </cell>
          <cell r="F316">
            <v>5</v>
          </cell>
          <cell r="G316">
            <v>59</v>
          </cell>
          <cell r="H316">
            <v>64</v>
          </cell>
        </row>
        <row r="317">
          <cell r="A317">
            <v>316</v>
          </cell>
          <cell r="B317">
            <v>315</v>
          </cell>
          <cell r="C317">
            <v>0.2424</v>
          </cell>
          <cell r="D317">
            <v>0.38</v>
          </cell>
          <cell r="E317">
            <v>0.16420000000000001</v>
          </cell>
          <cell r="F317">
            <v>9</v>
          </cell>
          <cell r="G317">
            <v>59</v>
          </cell>
          <cell r="H317">
            <v>68</v>
          </cell>
        </row>
        <row r="318">
          <cell r="A318">
            <v>317</v>
          </cell>
          <cell r="B318">
            <v>316</v>
          </cell>
          <cell r="C318">
            <v>0.2424</v>
          </cell>
          <cell r="D318">
            <v>0.41</v>
          </cell>
          <cell r="E318">
            <v>0.1045</v>
          </cell>
          <cell r="F318">
            <v>3</v>
          </cell>
          <cell r="G318">
            <v>87</v>
          </cell>
          <cell r="H318">
            <v>90</v>
          </cell>
        </row>
        <row r="319">
          <cell r="A319">
            <v>318</v>
          </cell>
          <cell r="B319">
            <v>317</v>
          </cell>
          <cell r="C319">
            <v>0.2273</v>
          </cell>
          <cell r="D319">
            <v>0.41</v>
          </cell>
          <cell r="E319">
            <v>0.16420000000000001</v>
          </cell>
          <cell r="F319">
            <v>4</v>
          </cell>
          <cell r="G319">
            <v>155</v>
          </cell>
          <cell r="H319">
            <v>159</v>
          </cell>
        </row>
        <row r="320">
          <cell r="A320">
            <v>319</v>
          </cell>
          <cell r="B320">
            <v>318</v>
          </cell>
          <cell r="C320">
            <v>0.2576</v>
          </cell>
          <cell r="D320">
            <v>0.47</v>
          </cell>
          <cell r="E320">
            <v>0</v>
          </cell>
          <cell r="F320">
            <v>5</v>
          </cell>
          <cell r="G320">
            <v>134</v>
          </cell>
          <cell r="H320">
            <v>139</v>
          </cell>
        </row>
        <row r="321">
          <cell r="A321">
            <v>320</v>
          </cell>
          <cell r="B321">
            <v>319</v>
          </cell>
          <cell r="C321">
            <v>0.19700000000000001</v>
          </cell>
          <cell r="D321">
            <v>0.59</v>
          </cell>
          <cell r="E321">
            <v>8.9599999999999999E-2</v>
          </cell>
          <cell r="F321">
            <v>3</v>
          </cell>
          <cell r="G321">
            <v>89</v>
          </cell>
          <cell r="H321">
            <v>92</v>
          </cell>
        </row>
        <row r="322">
          <cell r="A322">
            <v>321</v>
          </cell>
          <cell r="B322">
            <v>320</v>
          </cell>
          <cell r="C322">
            <v>0.2424</v>
          </cell>
          <cell r="D322">
            <v>0.59</v>
          </cell>
          <cell r="E322">
            <v>0</v>
          </cell>
          <cell r="F322">
            <v>0</v>
          </cell>
          <cell r="G322">
            <v>68</v>
          </cell>
          <cell r="H322">
            <v>68</v>
          </cell>
        </row>
        <row r="323">
          <cell r="A323">
            <v>322</v>
          </cell>
          <cell r="B323">
            <v>321</v>
          </cell>
          <cell r="C323">
            <v>0.2273</v>
          </cell>
          <cell r="D323">
            <v>0.69</v>
          </cell>
          <cell r="E323">
            <v>0</v>
          </cell>
          <cell r="F323">
            <v>4</v>
          </cell>
          <cell r="G323">
            <v>48</v>
          </cell>
          <cell r="H323">
            <v>52</v>
          </cell>
        </row>
        <row r="324">
          <cell r="A324">
            <v>323</v>
          </cell>
          <cell r="B324">
            <v>322</v>
          </cell>
          <cell r="C324">
            <v>0.2273</v>
          </cell>
          <cell r="D324">
            <v>0.69</v>
          </cell>
          <cell r="E324">
            <v>0</v>
          </cell>
          <cell r="F324">
            <v>2</v>
          </cell>
          <cell r="G324">
            <v>34</v>
          </cell>
          <cell r="H324">
            <v>36</v>
          </cell>
        </row>
        <row r="325">
          <cell r="A325">
            <v>324</v>
          </cell>
          <cell r="B325">
            <v>323</v>
          </cell>
          <cell r="C325">
            <v>0.2424</v>
          </cell>
          <cell r="D325">
            <v>0.55000000000000004</v>
          </cell>
          <cell r="E325">
            <v>0</v>
          </cell>
          <cell r="F325">
            <v>1</v>
          </cell>
          <cell r="G325">
            <v>26</v>
          </cell>
          <cell r="H325">
            <v>27</v>
          </cell>
        </row>
        <row r="326">
          <cell r="A326">
            <v>325</v>
          </cell>
          <cell r="B326">
            <v>324</v>
          </cell>
          <cell r="C326">
            <v>0.2424</v>
          </cell>
          <cell r="D326">
            <v>0.55000000000000004</v>
          </cell>
          <cell r="E326">
            <v>0</v>
          </cell>
          <cell r="F326">
            <v>3</v>
          </cell>
          <cell r="G326">
            <v>25</v>
          </cell>
          <cell r="H326">
            <v>28</v>
          </cell>
        </row>
        <row r="327">
          <cell r="A327">
            <v>326</v>
          </cell>
          <cell r="B327">
            <v>325</v>
          </cell>
          <cell r="C327">
            <v>0.19700000000000001</v>
          </cell>
          <cell r="D327">
            <v>0.59</v>
          </cell>
          <cell r="E327">
            <v>8.9599999999999999E-2</v>
          </cell>
          <cell r="F327">
            <v>2</v>
          </cell>
          <cell r="G327">
            <v>18</v>
          </cell>
          <cell r="H327">
            <v>20</v>
          </cell>
        </row>
        <row r="328">
          <cell r="A328">
            <v>327</v>
          </cell>
          <cell r="B328">
            <v>326</v>
          </cell>
          <cell r="C328">
            <v>0.19700000000000001</v>
          </cell>
          <cell r="D328">
            <v>0.59</v>
          </cell>
          <cell r="E328">
            <v>8.9599999999999999E-2</v>
          </cell>
          <cell r="F328">
            <v>0</v>
          </cell>
          <cell r="G328">
            <v>12</v>
          </cell>
          <cell r="H328">
            <v>12</v>
          </cell>
        </row>
        <row r="329">
          <cell r="A329">
            <v>328</v>
          </cell>
          <cell r="B329">
            <v>327</v>
          </cell>
          <cell r="C329">
            <v>0.2273</v>
          </cell>
          <cell r="D329">
            <v>0.59</v>
          </cell>
          <cell r="E329">
            <v>0</v>
          </cell>
          <cell r="F329">
            <v>1</v>
          </cell>
          <cell r="G329">
            <v>7</v>
          </cell>
          <cell r="H329">
            <v>8</v>
          </cell>
        </row>
        <row r="330">
          <cell r="A330">
            <v>329</v>
          </cell>
          <cell r="B330">
            <v>328</v>
          </cell>
          <cell r="C330">
            <v>0.2273</v>
          </cell>
          <cell r="D330">
            <v>0.59</v>
          </cell>
          <cell r="E330">
            <v>0</v>
          </cell>
          <cell r="F330">
            <v>0</v>
          </cell>
          <cell r="G330">
            <v>5</v>
          </cell>
          <cell r="H330">
            <v>5</v>
          </cell>
        </row>
        <row r="331">
          <cell r="A331">
            <v>330</v>
          </cell>
          <cell r="B331">
            <v>329</v>
          </cell>
          <cell r="C331">
            <v>0.2273</v>
          </cell>
          <cell r="D331">
            <v>0.59</v>
          </cell>
          <cell r="E331">
            <v>0</v>
          </cell>
          <cell r="F331">
            <v>0</v>
          </cell>
          <cell r="G331">
            <v>1</v>
          </cell>
          <cell r="H331">
            <v>1</v>
          </cell>
        </row>
        <row r="332">
          <cell r="A332">
            <v>331</v>
          </cell>
          <cell r="B332">
            <v>330</v>
          </cell>
          <cell r="C332">
            <v>0.16669999999999999</v>
          </cell>
          <cell r="D332">
            <v>0.63</v>
          </cell>
          <cell r="E332">
            <v>0.1045</v>
          </cell>
          <cell r="F332">
            <v>1</v>
          </cell>
          <cell r="G332">
            <v>2</v>
          </cell>
          <cell r="H332">
            <v>3</v>
          </cell>
        </row>
        <row r="333">
          <cell r="A333">
            <v>332</v>
          </cell>
          <cell r="B333">
            <v>331</v>
          </cell>
          <cell r="C333">
            <v>0.21210000000000001</v>
          </cell>
          <cell r="D333">
            <v>0.63</v>
          </cell>
          <cell r="E333">
            <v>0</v>
          </cell>
          <cell r="F333">
            <v>1</v>
          </cell>
          <cell r="G333">
            <v>9</v>
          </cell>
          <cell r="H333">
            <v>10</v>
          </cell>
        </row>
        <row r="334">
          <cell r="A334">
            <v>333</v>
          </cell>
          <cell r="B334">
            <v>332</v>
          </cell>
          <cell r="C334">
            <v>0.1515</v>
          </cell>
          <cell r="D334">
            <v>0.63</v>
          </cell>
          <cell r="E334">
            <v>0.1343</v>
          </cell>
          <cell r="F334">
            <v>1</v>
          </cell>
          <cell r="G334">
            <v>22</v>
          </cell>
          <cell r="H334">
            <v>23</v>
          </cell>
        </row>
        <row r="335">
          <cell r="A335">
            <v>334</v>
          </cell>
          <cell r="B335">
            <v>333</v>
          </cell>
          <cell r="C335">
            <v>0.18179999999999999</v>
          </cell>
          <cell r="D335">
            <v>0.64</v>
          </cell>
          <cell r="E335">
            <v>0.1343</v>
          </cell>
          <cell r="F335">
            <v>2</v>
          </cell>
          <cell r="G335">
            <v>31</v>
          </cell>
          <cell r="H335">
            <v>33</v>
          </cell>
        </row>
        <row r="336">
          <cell r="A336">
            <v>335</v>
          </cell>
          <cell r="B336">
            <v>334</v>
          </cell>
          <cell r="C336">
            <v>0.19700000000000001</v>
          </cell>
          <cell r="D336">
            <v>0.59</v>
          </cell>
          <cell r="E336">
            <v>0.16420000000000001</v>
          </cell>
          <cell r="F336">
            <v>2</v>
          </cell>
          <cell r="G336">
            <v>57</v>
          </cell>
          <cell r="H336">
            <v>59</v>
          </cell>
        </row>
        <row r="337">
          <cell r="A337">
            <v>336</v>
          </cell>
          <cell r="B337">
            <v>335</v>
          </cell>
          <cell r="C337">
            <v>0.19700000000000001</v>
          </cell>
          <cell r="D337">
            <v>0.55000000000000004</v>
          </cell>
          <cell r="E337">
            <v>0.22389999999999999</v>
          </cell>
          <cell r="F337">
            <v>18</v>
          </cell>
          <cell r="G337">
            <v>54</v>
          </cell>
          <cell r="H337">
            <v>72</v>
          </cell>
        </row>
        <row r="338">
          <cell r="A338">
            <v>337</v>
          </cell>
          <cell r="B338">
            <v>336</v>
          </cell>
          <cell r="C338">
            <v>0.2273</v>
          </cell>
          <cell r="D338">
            <v>0.48</v>
          </cell>
          <cell r="E338">
            <v>0.22389999999999999</v>
          </cell>
          <cell r="F338">
            <v>15</v>
          </cell>
          <cell r="G338">
            <v>74</v>
          </cell>
          <cell r="H338">
            <v>89</v>
          </cell>
        </row>
        <row r="339">
          <cell r="A339">
            <v>338</v>
          </cell>
          <cell r="B339">
            <v>337</v>
          </cell>
          <cell r="C339">
            <v>0.2576</v>
          </cell>
          <cell r="D339">
            <v>0.38</v>
          </cell>
          <cell r="E339">
            <v>0.29849999999999999</v>
          </cell>
          <cell r="F339">
            <v>21</v>
          </cell>
          <cell r="G339">
            <v>80</v>
          </cell>
          <cell r="H339">
            <v>101</v>
          </cell>
        </row>
        <row r="340">
          <cell r="A340">
            <v>339</v>
          </cell>
          <cell r="B340">
            <v>338</v>
          </cell>
          <cell r="C340">
            <v>0.28789999999999999</v>
          </cell>
          <cell r="D340">
            <v>0.39</v>
          </cell>
          <cell r="E340">
            <v>0.28360000000000002</v>
          </cell>
          <cell r="F340">
            <v>26</v>
          </cell>
          <cell r="G340">
            <v>92</v>
          </cell>
          <cell r="H340">
            <v>118</v>
          </cell>
        </row>
        <row r="341">
          <cell r="A341">
            <v>340</v>
          </cell>
          <cell r="B341">
            <v>339</v>
          </cell>
          <cell r="C341">
            <v>0.31819999999999998</v>
          </cell>
          <cell r="D341">
            <v>0.36</v>
          </cell>
          <cell r="E341">
            <v>0.19400000000000001</v>
          </cell>
          <cell r="F341">
            <v>21</v>
          </cell>
          <cell r="G341">
            <v>108</v>
          </cell>
          <cell r="H341">
            <v>129</v>
          </cell>
        </row>
        <row r="342">
          <cell r="A342">
            <v>341</v>
          </cell>
          <cell r="B342">
            <v>340</v>
          </cell>
          <cell r="C342">
            <v>0.33329999999999999</v>
          </cell>
          <cell r="D342">
            <v>0.34</v>
          </cell>
          <cell r="E342">
            <v>0.19400000000000001</v>
          </cell>
          <cell r="F342">
            <v>33</v>
          </cell>
          <cell r="G342">
            <v>95</v>
          </cell>
          <cell r="H342">
            <v>128</v>
          </cell>
        </row>
        <row r="343">
          <cell r="A343">
            <v>342</v>
          </cell>
          <cell r="B343">
            <v>341</v>
          </cell>
          <cell r="C343">
            <v>0.30299999999999999</v>
          </cell>
          <cell r="D343">
            <v>0.36</v>
          </cell>
          <cell r="E343">
            <v>0.28360000000000002</v>
          </cell>
          <cell r="F343">
            <v>29</v>
          </cell>
          <cell r="G343">
            <v>54</v>
          </cell>
          <cell r="H343">
            <v>83</v>
          </cell>
        </row>
        <row r="344">
          <cell r="A344">
            <v>343</v>
          </cell>
          <cell r="B344">
            <v>342</v>
          </cell>
          <cell r="C344">
            <v>0.28789999999999999</v>
          </cell>
          <cell r="D344">
            <v>0.45</v>
          </cell>
          <cell r="E344">
            <v>0.25369999999999998</v>
          </cell>
          <cell r="F344">
            <v>15</v>
          </cell>
          <cell r="G344">
            <v>69</v>
          </cell>
          <cell r="H344">
            <v>84</v>
          </cell>
        </row>
        <row r="345">
          <cell r="A345">
            <v>344</v>
          </cell>
          <cell r="B345">
            <v>343</v>
          </cell>
          <cell r="C345">
            <v>0.30299999999999999</v>
          </cell>
          <cell r="D345">
            <v>0.39</v>
          </cell>
          <cell r="E345">
            <v>0.25369999999999998</v>
          </cell>
          <cell r="F345">
            <v>14</v>
          </cell>
          <cell r="G345">
            <v>60</v>
          </cell>
          <cell r="H345">
            <v>74</v>
          </cell>
        </row>
        <row r="346">
          <cell r="A346">
            <v>345</v>
          </cell>
          <cell r="B346">
            <v>344</v>
          </cell>
          <cell r="C346">
            <v>0.30299999999999999</v>
          </cell>
          <cell r="D346">
            <v>0.39</v>
          </cell>
          <cell r="E346">
            <v>0.25369999999999998</v>
          </cell>
          <cell r="F346">
            <v>6</v>
          </cell>
          <cell r="G346">
            <v>35</v>
          </cell>
          <cell r="H346">
            <v>41</v>
          </cell>
        </row>
        <row r="347">
          <cell r="A347">
            <v>346</v>
          </cell>
          <cell r="B347">
            <v>345</v>
          </cell>
          <cell r="C347">
            <v>0.30299999999999999</v>
          </cell>
          <cell r="D347">
            <v>0.39</v>
          </cell>
          <cell r="E347">
            <v>0.22389999999999999</v>
          </cell>
          <cell r="F347">
            <v>6</v>
          </cell>
          <cell r="G347">
            <v>51</v>
          </cell>
          <cell r="H347">
            <v>57</v>
          </cell>
        </row>
        <row r="348">
          <cell r="A348">
            <v>347</v>
          </cell>
          <cell r="B348">
            <v>346</v>
          </cell>
          <cell r="C348">
            <v>0.31819999999999998</v>
          </cell>
          <cell r="D348">
            <v>0.42</v>
          </cell>
          <cell r="E348">
            <v>0.1045</v>
          </cell>
          <cell r="F348">
            <v>0</v>
          </cell>
          <cell r="G348">
            <v>26</v>
          </cell>
          <cell r="H348">
            <v>26</v>
          </cell>
        </row>
        <row r="349">
          <cell r="A349">
            <v>348</v>
          </cell>
          <cell r="B349">
            <v>347</v>
          </cell>
          <cell r="C349">
            <v>0.28789999999999999</v>
          </cell>
          <cell r="D349">
            <v>0.45</v>
          </cell>
          <cell r="E349">
            <v>0.28360000000000002</v>
          </cell>
          <cell r="F349">
            <v>5</v>
          </cell>
          <cell r="G349">
            <v>39</v>
          </cell>
          <cell r="H349">
            <v>44</v>
          </cell>
        </row>
        <row r="350">
          <cell r="A350">
            <v>349</v>
          </cell>
          <cell r="B350">
            <v>348</v>
          </cell>
          <cell r="C350">
            <v>0.30299999999999999</v>
          </cell>
          <cell r="D350">
            <v>0.56000000000000005</v>
          </cell>
          <cell r="E350">
            <v>0</v>
          </cell>
          <cell r="F350">
            <v>6</v>
          </cell>
          <cell r="G350">
            <v>33</v>
          </cell>
          <cell r="H350">
            <v>39</v>
          </cell>
        </row>
        <row r="351">
          <cell r="A351">
            <v>350</v>
          </cell>
          <cell r="B351">
            <v>349</v>
          </cell>
          <cell r="C351">
            <v>0.2727</v>
          </cell>
          <cell r="D351">
            <v>0.56000000000000005</v>
          </cell>
          <cell r="E351">
            <v>0.1343</v>
          </cell>
          <cell r="F351">
            <v>4</v>
          </cell>
          <cell r="G351">
            <v>19</v>
          </cell>
          <cell r="H351">
            <v>23</v>
          </cell>
        </row>
        <row r="352">
          <cell r="A352">
            <v>351</v>
          </cell>
          <cell r="B352">
            <v>350</v>
          </cell>
          <cell r="C352">
            <v>0.28789999999999999</v>
          </cell>
          <cell r="D352">
            <v>0.56000000000000005</v>
          </cell>
          <cell r="E352">
            <v>8.9599999999999999E-2</v>
          </cell>
          <cell r="F352">
            <v>3</v>
          </cell>
          <cell r="G352">
            <v>13</v>
          </cell>
          <cell r="H352">
            <v>16</v>
          </cell>
        </row>
        <row r="353">
          <cell r="A353">
            <v>352</v>
          </cell>
          <cell r="B353">
            <v>351</v>
          </cell>
          <cell r="C353">
            <v>0.2727</v>
          </cell>
          <cell r="D353">
            <v>0.69</v>
          </cell>
          <cell r="E353">
            <v>0</v>
          </cell>
          <cell r="F353">
            <v>9</v>
          </cell>
          <cell r="G353">
            <v>6</v>
          </cell>
          <cell r="H353">
            <v>15</v>
          </cell>
        </row>
        <row r="354">
          <cell r="A354">
            <v>353</v>
          </cell>
          <cell r="B354">
            <v>352</v>
          </cell>
          <cell r="C354">
            <v>0.2576</v>
          </cell>
          <cell r="D354">
            <v>0.56000000000000005</v>
          </cell>
          <cell r="E354">
            <v>0.16420000000000001</v>
          </cell>
          <cell r="F354">
            <v>0</v>
          </cell>
          <cell r="G354">
            <v>1</v>
          </cell>
          <cell r="H354">
            <v>1</v>
          </cell>
        </row>
        <row r="355">
          <cell r="A355">
            <v>354</v>
          </cell>
          <cell r="B355">
            <v>353</v>
          </cell>
          <cell r="C355">
            <v>0.2576</v>
          </cell>
          <cell r="D355">
            <v>0.56000000000000005</v>
          </cell>
          <cell r="E355">
            <v>0.16420000000000001</v>
          </cell>
          <cell r="F355">
            <v>1</v>
          </cell>
          <cell r="G355">
            <v>1</v>
          </cell>
          <cell r="H355">
            <v>2</v>
          </cell>
        </row>
        <row r="356">
          <cell r="A356">
            <v>355</v>
          </cell>
          <cell r="B356">
            <v>354</v>
          </cell>
          <cell r="C356">
            <v>0.2576</v>
          </cell>
          <cell r="D356">
            <v>0.56000000000000005</v>
          </cell>
          <cell r="E356">
            <v>0.16420000000000001</v>
          </cell>
          <cell r="F356">
            <v>0</v>
          </cell>
          <cell r="G356">
            <v>1</v>
          </cell>
          <cell r="H356">
            <v>1</v>
          </cell>
        </row>
        <row r="357">
          <cell r="A357">
            <v>356</v>
          </cell>
          <cell r="B357">
            <v>355</v>
          </cell>
          <cell r="C357">
            <v>0.21210000000000001</v>
          </cell>
          <cell r="D357">
            <v>0.56000000000000005</v>
          </cell>
          <cell r="E357">
            <v>0.29849999999999999</v>
          </cell>
          <cell r="F357">
            <v>0</v>
          </cell>
          <cell r="G357">
            <v>3</v>
          </cell>
          <cell r="H357">
            <v>3</v>
          </cell>
        </row>
        <row r="358">
          <cell r="A358">
            <v>357</v>
          </cell>
          <cell r="B358">
            <v>356</v>
          </cell>
          <cell r="C358">
            <v>0.21210000000000001</v>
          </cell>
          <cell r="D358">
            <v>0.55000000000000004</v>
          </cell>
          <cell r="E358">
            <v>0.28360000000000002</v>
          </cell>
          <cell r="F358">
            <v>0</v>
          </cell>
          <cell r="G358">
            <v>18</v>
          </cell>
          <cell r="H358">
            <v>18</v>
          </cell>
        </row>
        <row r="359">
          <cell r="A359">
            <v>358</v>
          </cell>
          <cell r="B359">
            <v>357</v>
          </cell>
          <cell r="C359">
            <v>0.21210000000000001</v>
          </cell>
          <cell r="D359">
            <v>0.51</v>
          </cell>
          <cell r="E359">
            <v>0.25369999999999998</v>
          </cell>
          <cell r="F359">
            <v>3</v>
          </cell>
          <cell r="G359">
            <v>29</v>
          </cell>
          <cell r="H359">
            <v>32</v>
          </cell>
        </row>
        <row r="360">
          <cell r="A360">
            <v>359</v>
          </cell>
          <cell r="B360">
            <v>358</v>
          </cell>
          <cell r="C360">
            <v>0.21210000000000001</v>
          </cell>
          <cell r="D360">
            <v>0.51</v>
          </cell>
          <cell r="E360">
            <v>0.28360000000000002</v>
          </cell>
          <cell r="F360">
            <v>8</v>
          </cell>
          <cell r="G360">
            <v>71</v>
          </cell>
          <cell r="H360">
            <v>79</v>
          </cell>
        </row>
        <row r="361">
          <cell r="A361">
            <v>360</v>
          </cell>
          <cell r="B361">
            <v>359</v>
          </cell>
          <cell r="C361">
            <v>0.2273</v>
          </cell>
          <cell r="D361">
            <v>0.44</v>
          </cell>
          <cell r="E361">
            <v>0.25369999999999998</v>
          </cell>
          <cell r="F361">
            <v>23</v>
          </cell>
          <cell r="G361">
            <v>70</v>
          </cell>
          <cell r="H361">
            <v>93</v>
          </cell>
        </row>
        <row r="362">
          <cell r="A362">
            <v>361</v>
          </cell>
          <cell r="B362">
            <v>360</v>
          </cell>
          <cell r="C362">
            <v>0.21210000000000001</v>
          </cell>
          <cell r="D362">
            <v>0.41</v>
          </cell>
          <cell r="E362">
            <v>0.28360000000000002</v>
          </cell>
          <cell r="F362">
            <v>29</v>
          </cell>
          <cell r="G362">
            <v>75</v>
          </cell>
          <cell r="H362">
            <v>104</v>
          </cell>
        </row>
        <row r="363">
          <cell r="A363">
            <v>362</v>
          </cell>
          <cell r="B363">
            <v>361</v>
          </cell>
          <cell r="C363">
            <v>0.2273</v>
          </cell>
          <cell r="D363">
            <v>0.35</v>
          </cell>
          <cell r="E363">
            <v>0.29849999999999999</v>
          </cell>
          <cell r="F363">
            <v>23</v>
          </cell>
          <cell r="G363">
            <v>95</v>
          </cell>
          <cell r="H363">
            <v>118</v>
          </cell>
        </row>
        <row r="364">
          <cell r="A364">
            <v>363</v>
          </cell>
          <cell r="B364">
            <v>362</v>
          </cell>
          <cell r="C364">
            <v>0.2727</v>
          </cell>
          <cell r="D364">
            <v>0.36</v>
          </cell>
          <cell r="E364">
            <v>0.25369999999999998</v>
          </cell>
          <cell r="F364">
            <v>22</v>
          </cell>
          <cell r="G364">
            <v>69</v>
          </cell>
          <cell r="H364">
            <v>91</v>
          </cell>
        </row>
        <row r="365">
          <cell r="A365">
            <v>364</v>
          </cell>
          <cell r="B365">
            <v>363</v>
          </cell>
          <cell r="C365">
            <v>0.2424</v>
          </cell>
          <cell r="D365">
            <v>0.38</v>
          </cell>
          <cell r="E365">
            <v>0.25369999999999998</v>
          </cell>
          <cell r="F365">
            <v>35</v>
          </cell>
          <cell r="G365">
            <v>78</v>
          </cell>
          <cell r="H365">
            <v>113</v>
          </cell>
        </row>
        <row r="366">
          <cell r="A366">
            <v>365</v>
          </cell>
          <cell r="B366">
            <v>364</v>
          </cell>
          <cell r="C366">
            <v>0.2273</v>
          </cell>
          <cell r="D366">
            <v>0.38</v>
          </cell>
          <cell r="E366">
            <v>0.22389999999999999</v>
          </cell>
          <cell r="F366">
            <v>22</v>
          </cell>
          <cell r="G366">
            <v>77</v>
          </cell>
          <cell r="H366">
            <v>99</v>
          </cell>
        </row>
        <row r="367">
          <cell r="A367">
            <v>366</v>
          </cell>
          <cell r="B367">
            <v>365</v>
          </cell>
          <cell r="C367">
            <v>0.21210000000000001</v>
          </cell>
          <cell r="D367">
            <v>0.37</v>
          </cell>
          <cell r="E367">
            <v>0.25369999999999998</v>
          </cell>
          <cell r="F367">
            <v>23</v>
          </cell>
          <cell r="G367">
            <v>82</v>
          </cell>
          <cell r="H367">
            <v>105</v>
          </cell>
        </row>
        <row r="368">
          <cell r="A368">
            <v>367</v>
          </cell>
          <cell r="B368">
            <v>366</v>
          </cell>
          <cell r="C368">
            <v>0.21210000000000001</v>
          </cell>
          <cell r="D368">
            <v>0.4</v>
          </cell>
          <cell r="E368">
            <v>0.16420000000000001</v>
          </cell>
          <cell r="F368">
            <v>11</v>
          </cell>
          <cell r="G368">
            <v>56</v>
          </cell>
          <cell r="H368">
            <v>67</v>
          </cell>
        </row>
        <row r="369">
          <cell r="A369">
            <v>368</v>
          </cell>
          <cell r="B369">
            <v>367</v>
          </cell>
          <cell r="C369">
            <v>0.19700000000000001</v>
          </cell>
          <cell r="D369">
            <v>0.47</v>
          </cell>
          <cell r="E369">
            <v>0.1343</v>
          </cell>
          <cell r="F369">
            <v>14</v>
          </cell>
          <cell r="G369">
            <v>47</v>
          </cell>
          <cell r="H369">
            <v>61</v>
          </cell>
        </row>
        <row r="370">
          <cell r="A370">
            <v>369</v>
          </cell>
          <cell r="B370">
            <v>368</v>
          </cell>
          <cell r="C370">
            <v>0.19700000000000001</v>
          </cell>
          <cell r="D370">
            <v>0.47</v>
          </cell>
          <cell r="E370">
            <v>0.16420000000000001</v>
          </cell>
          <cell r="F370">
            <v>7</v>
          </cell>
          <cell r="G370">
            <v>50</v>
          </cell>
          <cell r="H370">
            <v>57</v>
          </cell>
        </row>
        <row r="371">
          <cell r="A371">
            <v>370</v>
          </cell>
          <cell r="B371">
            <v>369</v>
          </cell>
          <cell r="C371">
            <v>0.19700000000000001</v>
          </cell>
          <cell r="D371">
            <v>0.51</v>
          </cell>
          <cell r="E371">
            <v>0.16420000000000001</v>
          </cell>
          <cell r="F371">
            <v>6</v>
          </cell>
          <cell r="G371">
            <v>22</v>
          </cell>
          <cell r="H371">
            <v>28</v>
          </cell>
        </row>
        <row r="372">
          <cell r="A372">
            <v>371</v>
          </cell>
          <cell r="B372">
            <v>370</v>
          </cell>
          <cell r="C372">
            <v>0.21210000000000001</v>
          </cell>
          <cell r="D372">
            <v>0.49</v>
          </cell>
          <cell r="E372">
            <v>0.1343</v>
          </cell>
          <cell r="F372">
            <v>2</v>
          </cell>
          <cell r="G372">
            <v>19</v>
          </cell>
          <cell r="H372">
            <v>21</v>
          </cell>
        </row>
        <row r="373">
          <cell r="A373">
            <v>372</v>
          </cell>
          <cell r="B373">
            <v>371</v>
          </cell>
          <cell r="C373">
            <v>0.2273</v>
          </cell>
          <cell r="D373">
            <v>0.4</v>
          </cell>
          <cell r="E373">
            <v>0.1045</v>
          </cell>
          <cell r="F373">
            <v>0</v>
          </cell>
          <cell r="G373">
            <v>18</v>
          </cell>
          <cell r="H373">
            <v>18</v>
          </cell>
        </row>
        <row r="374">
          <cell r="A374">
            <v>373</v>
          </cell>
          <cell r="B374">
            <v>372</v>
          </cell>
          <cell r="C374">
            <v>0.19700000000000001</v>
          </cell>
          <cell r="D374">
            <v>0.47</v>
          </cell>
          <cell r="E374">
            <v>0.22389999999999999</v>
          </cell>
          <cell r="F374">
            <v>1</v>
          </cell>
          <cell r="G374">
            <v>16</v>
          </cell>
          <cell r="H374">
            <v>17</v>
          </cell>
        </row>
        <row r="375">
          <cell r="A375">
            <v>374</v>
          </cell>
          <cell r="B375">
            <v>373</v>
          </cell>
          <cell r="C375">
            <v>0.19700000000000001</v>
          </cell>
          <cell r="D375">
            <v>0.44</v>
          </cell>
          <cell r="E375">
            <v>0.19400000000000001</v>
          </cell>
          <cell r="F375">
            <v>1</v>
          </cell>
          <cell r="G375">
            <v>15</v>
          </cell>
          <cell r="H375">
            <v>16</v>
          </cell>
        </row>
        <row r="376">
          <cell r="A376">
            <v>375</v>
          </cell>
          <cell r="B376">
            <v>374</v>
          </cell>
          <cell r="C376">
            <v>0.16669999999999999</v>
          </cell>
          <cell r="D376">
            <v>0.43</v>
          </cell>
          <cell r="E376">
            <v>0.25369999999999998</v>
          </cell>
          <cell r="F376">
            <v>0</v>
          </cell>
          <cell r="G376">
            <v>8</v>
          </cell>
          <cell r="H376">
            <v>8</v>
          </cell>
        </row>
        <row r="377">
          <cell r="A377">
            <v>376</v>
          </cell>
          <cell r="B377">
            <v>375</v>
          </cell>
          <cell r="C377">
            <v>0.18179999999999999</v>
          </cell>
          <cell r="D377">
            <v>0.43</v>
          </cell>
          <cell r="E377">
            <v>0.19400000000000001</v>
          </cell>
          <cell r="F377">
            <v>0</v>
          </cell>
          <cell r="G377">
            <v>2</v>
          </cell>
          <cell r="H377">
            <v>2</v>
          </cell>
        </row>
        <row r="378">
          <cell r="A378">
            <v>377</v>
          </cell>
          <cell r="B378">
            <v>376</v>
          </cell>
          <cell r="C378">
            <v>0.19700000000000001</v>
          </cell>
          <cell r="D378">
            <v>0.43</v>
          </cell>
          <cell r="E378">
            <v>0.1343</v>
          </cell>
          <cell r="F378">
            <v>1</v>
          </cell>
          <cell r="G378">
            <v>2</v>
          </cell>
          <cell r="H378">
            <v>3</v>
          </cell>
        </row>
        <row r="379">
          <cell r="A379">
            <v>378</v>
          </cell>
          <cell r="B379">
            <v>377</v>
          </cell>
          <cell r="C379">
            <v>0.19700000000000001</v>
          </cell>
          <cell r="D379">
            <v>0.43</v>
          </cell>
          <cell r="E379">
            <v>0.16420000000000001</v>
          </cell>
          <cell r="F379">
            <v>0</v>
          </cell>
          <cell r="G379">
            <v>1</v>
          </cell>
          <cell r="H379">
            <v>1</v>
          </cell>
        </row>
        <row r="380">
          <cell r="A380">
            <v>379</v>
          </cell>
          <cell r="B380">
            <v>378</v>
          </cell>
          <cell r="C380">
            <v>0.18179999999999999</v>
          </cell>
          <cell r="D380">
            <v>0.43</v>
          </cell>
          <cell r="E380">
            <v>0.19400000000000001</v>
          </cell>
          <cell r="F380">
            <v>0</v>
          </cell>
          <cell r="G380">
            <v>5</v>
          </cell>
          <cell r="H380">
            <v>5</v>
          </cell>
        </row>
        <row r="381">
          <cell r="A381">
            <v>380</v>
          </cell>
          <cell r="B381">
            <v>379</v>
          </cell>
          <cell r="C381">
            <v>0.18179999999999999</v>
          </cell>
          <cell r="D381">
            <v>0.5</v>
          </cell>
          <cell r="E381">
            <v>0.1343</v>
          </cell>
          <cell r="F381">
            <v>4</v>
          </cell>
          <cell r="G381">
            <v>9</v>
          </cell>
          <cell r="H381">
            <v>13</v>
          </cell>
        </row>
        <row r="382">
          <cell r="A382">
            <v>381</v>
          </cell>
          <cell r="B382">
            <v>380</v>
          </cell>
          <cell r="C382">
            <v>0.1515</v>
          </cell>
          <cell r="D382">
            <v>0.47</v>
          </cell>
          <cell r="E382">
            <v>0.22389999999999999</v>
          </cell>
          <cell r="F382">
            <v>3</v>
          </cell>
          <cell r="G382">
            <v>30</v>
          </cell>
          <cell r="H382">
            <v>33</v>
          </cell>
        </row>
        <row r="383">
          <cell r="A383">
            <v>382</v>
          </cell>
          <cell r="B383">
            <v>381</v>
          </cell>
          <cell r="C383">
            <v>0.1515</v>
          </cell>
          <cell r="D383">
            <v>0.47</v>
          </cell>
          <cell r="E383">
            <v>0.22389999999999999</v>
          </cell>
          <cell r="F383">
            <v>8</v>
          </cell>
          <cell r="G383">
            <v>39</v>
          </cell>
          <cell r="H383">
            <v>47</v>
          </cell>
        </row>
        <row r="384">
          <cell r="A384">
            <v>383</v>
          </cell>
          <cell r="B384">
            <v>382</v>
          </cell>
          <cell r="C384">
            <v>0.1515</v>
          </cell>
          <cell r="D384">
            <v>0.5</v>
          </cell>
          <cell r="E384">
            <v>0.25369999999999998</v>
          </cell>
          <cell r="F384">
            <v>7</v>
          </cell>
          <cell r="G384">
            <v>50</v>
          </cell>
          <cell r="H384">
            <v>57</v>
          </cell>
        </row>
        <row r="385">
          <cell r="A385">
            <v>384</v>
          </cell>
          <cell r="B385">
            <v>383</v>
          </cell>
          <cell r="C385">
            <v>0.1515</v>
          </cell>
          <cell r="D385">
            <v>0.55000000000000004</v>
          </cell>
          <cell r="E385">
            <v>0.19400000000000001</v>
          </cell>
          <cell r="F385">
            <v>9</v>
          </cell>
          <cell r="G385">
            <v>55</v>
          </cell>
          <cell r="H385">
            <v>64</v>
          </cell>
        </row>
        <row r="386">
          <cell r="A386">
            <v>385</v>
          </cell>
          <cell r="B386">
            <v>384</v>
          </cell>
          <cell r="C386">
            <v>0.19700000000000001</v>
          </cell>
          <cell r="D386">
            <v>0.47</v>
          </cell>
          <cell r="E386">
            <v>0.1343</v>
          </cell>
          <cell r="F386">
            <v>10</v>
          </cell>
          <cell r="G386">
            <v>70</v>
          </cell>
          <cell r="H386">
            <v>80</v>
          </cell>
        </row>
        <row r="387">
          <cell r="A387">
            <v>386</v>
          </cell>
          <cell r="B387">
            <v>385</v>
          </cell>
          <cell r="C387">
            <v>0.19700000000000001</v>
          </cell>
          <cell r="D387">
            <v>0.47</v>
          </cell>
          <cell r="E387">
            <v>0.1343</v>
          </cell>
          <cell r="F387">
            <v>13</v>
          </cell>
          <cell r="G387">
            <v>80</v>
          </cell>
          <cell r="H387">
            <v>93</v>
          </cell>
        </row>
        <row r="388">
          <cell r="A388">
            <v>387</v>
          </cell>
          <cell r="B388">
            <v>386</v>
          </cell>
          <cell r="C388">
            <v>0.21210000000000001</v>
          </cell>
          <cell r="D388">
            <v>0.43</v>
          </cell>
          <cell r="E388">
            <v>0.1045</v>
          </cell>
          <cell r="F388">
            <v>12</v>
          </cell>
          <cell r="G388">
            <v>74</v>
          </cell>
          <cell r="H388">
            <v>86</v>
          </cell>
        </row>
        <row r="389">
          <cell r="A389">
            <v>388</v>
          </cell>
          <cell r="B389">
            <v>387</v>
          </cell>
          <cell r="C389">
            <v>0.21210000000000001</v>
          </cell>
          <cell r="D389">
            <v>0.47</v>
          </cell>
          <cell r="E389">
            <v>0.16420000000000001</v>
          </cell>
          <cell r="F389">
            <v>21</v>
          </cell>
          <cell r="G389">
            <v>72</v>
          </cell>
          <cell r="H389">
            <v>93</v>
          </cell>
        </row>
        <row r="390">
          <cell r="A390">
            <v>389</v>
          </cell>
          <cell r="B390">
            <v>388</v>
          </cell>
          <cell r="C390">
            <v>0.21210000000000001</v>
          </cell>
          <cell r="D390">
            <v>0.47</v>
          </cell>
          <cell r="E390">
            <v>0.16420000000000001</v>
          </cell>
          <cell r="F390">
            <v>6</v>
          </cell>
          <cell r="G390">
            <v>76</v>
          </cell>
          <cell r="H390">
            <v>82</v>
          </cell>
        </row>
        <row r="391">
          <cell r="A391">
            <v>390</v>
          </cell>
          <cell r="B391">
            <v>389</v>
          </cell>
          <cell r="C391">
            <v>0.19700000000000001</v>
          </cell>
          <cell r="D391">
            <v>0.51</v>
          </cell>
          <cell r="E391">
            <v>0.19400000000000001</v>
          </cell>
          <cell r="F391">
            <v>4</v>
          </cell>
          <cell r="G391">
            <v>67</v>
          </cell>
          <cell r="H391">
            <v>71</v>
          </cell>
        </row>
        <row r="392">
          <cell r="A392">
            <v>391</v>
          </cell>
          <cell r="B392">
            <v>390</v>
          </cell>
          <cell r="C392">
            <v>0.16669999999999999</v>
          </cell>
          <cell r="D392">
            <v>0.55000000000000004</v>
          </cell>
          <cell r="E392">
            <v>0.25369999999999998</v>
          </cell>
          <cell r="F392">
            <v>7</v>
          </cell>
          <cell r="G392">
            <v>85</v>
          </cell>
          <cell r="H392">
            <v>92</v>
          </cell>
        </row>
        <row r="393">
          <cell r="A393">
            <v>392</v>
          </cell>
          <cell r="B393">
            <v>391</v>
          </cell>
          <cell r="C393">
            <v>0.18179999999999999</v>
          </cell>
          <cell r="D393">
            <v>0.59</v>
          </cell>
          <cell r="E393">
            <v>0.19400000000000001</v>
          </cell>
          <cell r="F393">
            <v>2</v>
          </cell>
          <cell r="G393">
            <v>58</v>
          </cell>
          <cell r="H393">
            <v>60</v>
          </cell>
        </row>
        <row r="394">
          <cell r="A394">
            <v>393</v>
          </cell>
          <cell r="B394">
            <v>392</v>
          </cell>
          <cell r="C394">
            <v>0.1515</v>
          </cell>
          <cell r="D394">
            <v>0.8</v>
          </cell>
          <cell r="E394">
            <v>0.19400000000000001</v>
          </cell>
          <cell r="F394">
            <v>4</v>
          </cell>
          <cell r="G394">
            <v>29</v>
          </cell>
          <cell r="H394">
            <v>33</v>
          </cell>
        </row>
        <row r="395">
          <cell r="A395">
            <v>394</v>
          </cell>
          <cell r="B395">
            <v>393</v>
          </cell>
          <cell r="C395">
            <v>0.1515</v>
          </cell>
          <cell r="D395">
            <v>0.8</v>
          </cell>
          <cell r="E395">
            <v>0.19400000000000001</v>
          </cell>
          <cell r="F395">
            <v>3</v>
          </cell>
          <cell r="G395">
            <v>24</v>
          </cell>
          <cell r="H395">
            <v>27</v>
          </cell>
        </row>
        <row r="396">
          <cell r="A396">
            <v>395</v>
          </cell>
          <cell r="B396">
            <v>394</v>
          </cell>
          <cell r="C396">
            <v>0.1212</v>
          </cell>
          <cell r="D396">
            <v>0.93</v>
          </cell>
          <cell r="E396">
            <v>0.25369999999999998</v>
          </cell>
          <cell r="F396">
            <v>0</v>
          </cell>
          <cell r="G396">
            <v>13</v>
          </cell>
          <cell r="H396">
            <v>13</v>
          </cell>
        </row>
        <row r="397">
          <cell r="A397">
            <v>396</v>
          </cell>
          <cell r="B397">
            <v>395</v>
          </cell>
          <cell r="C397">
            <v>0.13639999999999999</v>
          </cell>
          <cell r="D397">
            <v>0.86</v>
          </cell>
          <cell r="E397">
            <v>0.28360000000000002</v>
          </cell>
          <cell r="F397">
            <v>1</v>
          </cell>
          <cell r="G397">
            <v>3</v>
          </cell>
          <cell r="H397">
            <v>4</v>
          </cell>
        </row>
        <row r="398">
          <cell r="A398">
            <v>397</v>
          </cell>
          <cell r="B398">
            <v>396</v>
          </cell>
          <cell r="C398">
            <v>0.18179999999999999</v>
          </cell>
          <cell r="D398">
            <v>0.86</v>
          </cell>
          <cell r="E398">
            <v>0.32840000000000003</v>
          </cell>
          <cell r="F398">
            <v>0</v>
          </cell>
          <cell r="G398">
            <v>3</v>
          </cell>
          <cell r="H398">
            <v>3</v>
          </cell>
        </row>
        <row r="399">
          <cell r="A399">
            <v>398</v>
          </cell>
          <cell r="B399">
            <v>397</v>
          </cell>
          <cell r="C399">
            <v>0.19700000000000001</v>
          </cell>
          <cell r="D399">
            <v>0.86</v>
          </cell>
          <cell r="E399">
            <v>0.22389999999999999</v>
          </cell>
          <cell r="F399">
            <v>0</v>
          </cell>
          <cell r="G399">
            <v>22</v>
          </cell>
          <cell r="H399">
            <v>22</v>
          </cell>
        </row>
        <row r="400">
          <cell r="A400">
            <v>399</v>
          </cell>
          <cell r="B400">
            <v>398</v>
          </cell>
          <cell r="C400">
            <v>0.2273</v>
          </cell>
          <cell r="D400">
            <v>0.8</v>
          </cell>
          <cell r="E400">
            <v>0.16420000000000001</v>
          </cell>
          <cell r="F400">
            <v>2</v>
          </cell>
          <cell r="G400">
            <v>26</v>
          </cell>
          <cell r="H400">
            <v>28</v>
          </cell>
        </row>
        <row r="401">
          <cell r="A401">
            <v>400</v>
          </cell>
          <cell r="B401">
            <v>399</v>
          </cell>
          <cell r="C401">
            <v>0.2273</v>
          </cell>
          <cell r="D401">
            <v>0.87</v>
          </cell>
          <cell r="E401">
            <v>0.16420000000000001</v>
          </cell>
          <cell r="F401">
            <v>3</v>
          </cell>
          <cell r="G401">
            <v>32</v>
          </cell>
          <cell r="H401">
            <v>35</v>
          </cell>
        </row>
        <row r="402">
          <cell r="A402">
            <v>401</v>
          </cell>
          <cell r="B402">
            <v>400</v>
          </cell>
          <cell r="C402">
            <v>0.2273</v>
          </cell>
          <cell r="D402">
            <v>0.87</v>
          </cell>
          <cell r="E402">
            <v>0.19400000000000001</v>
          </cell>
          <cell r="F402">
            <v>0</v>
          </cell>
          <cell r="G402">
            <v>61</v>
          </cell>
          <cell r="H402">
            <v>61</v>
          </cell>
        </row>
        <row r="403">
          <cell r="A403">
            <v>402</v>
          </cell>
          <cell r="B403">
            <v>401</v>
          </cell>
          <cell r="C403">
            <v>0.2273</v>
          </cell>
          <cell r="D403">
            <v>0.82</v>
          </cell>
          <cell r="E403">
            <v>0.19400000000000001</v>
          </cell>
          <cell r="F403">
            <v>1</v>
          </cell>
          <cell r="G403">
            <v>124</v>
          </cell>
          <cell r="H403">
            <v>125</v>
          </cell>
        </row>
        <row r="404">
          <cell r="A404">
            <v>403</v>
          </cell>
          <cell r="B404">
            <v>402</v>
          </cell>
          <cell r="C404">
            <v>0.2273</v>
          </cell>
          <cell r="D404">
            <v>0.8</v>
          </cell>
          <cell r="E404">
            <v>0.16420000000000001</v>
          </cell>
          <cell r="F404">
            <v>1</v>
          </cell>
          <cell r="G404">
            <v>132</v>
          </cell>
          <cell r="H404">
            <v>133</v>
          </cell>
        </row>
        <row r="405">
          <cell r="A405">
            <v>404</v>
          </cell>
          <cell r="B405">
            <v>403</v>
          </cell>
          <cell r="C405">
            <v>0.2273</v>
          </cell>
          <cell r="D405">
            <v>0.8</v>
          </cell>
          <cell r="E405">
            <v>0.1343</v>
          </cell>
          <cell r="F405">
            <v>1</v>
          </cell>
          <cell r="G405">
            <v>98</v>
          </cell>
          <cell r="H405">
            <v>99</v>
          </cell>
        </row>
        <row r="406">
          <cell r="A406">
            <v>405</v>
          </cell>
          <cell r="B406">
            <v>404</v>
          </cell>
          <cell r="C406">
            <v>0.2727</v>
          </cell>
          <cell r="D406">
            <v>0.87</v>
          </cell>
          <cell r="E406">
            <v>0</v>
          </cell>
          <cell r="F406">
            <v>0</v>
          </cell>
          <cell r="G406">
            <v>83</v>
          </cell>
          <cell r="H406">
            <v>83</v>
          </cell>
        </row>
        <row r="407">
          <cell r="A407">
            <v>406</v>
          </cell>
          <cell r="B407">
            <v>405</v>
          </cell>
          <cell r="C407">
            <v>0.2424</v>
          </cell>
          <cell r="D407">
            <v>0.93</v>
          </cell>
          <cell r="E407">
            <v>0.1045</v>
          </cell>
          <cell r="F407">
            <v>0</v>
          </cell>
          <cell r="G407">
            <v>41</v>
          </cell>
          <cell r="H407">
            <v>41</v>
          </cell>
        </row>
        <row r="408">
          <cell r="A408">
            <v>407</v>
          </cell>
          <cell r="B408">
            <v>406</v>
          </cell>
          <cell r="C408">
            <v>0.2576</v>
          </cell>
          <cell r="D408">
            <v>0.93</v>
          </cell>
          <cell r="E408">
            <v>8.9599999999999999E-2</v>
          </cell>
          <cell r="F408">
            <v>0</v>
          </cell>
          <cell r="G408">
            <v>33</v>
          </cell>
          <cell r="H408">
            <v>33</v>
          </cell>
        </row>
        <row r="409">
          <cell r="A409">
            <v>408</v>
          </cell>
          <cell r="B409">
            <v>407</v>
          </cell>
          <cell r="C409">
            <v>0.2727</v>
          </cell>
          <cell r="D409">
            <v>0.93</v>
          </cell>
          <cell r="E409">
            <v>0</v>
          </cell>
          <cell r="F409">
            <v>1</v>
          </cell>
          <cell r="G409">
            <v>19</v>
          </cell>
          <cell r="H409">
            <v>20</v>
          </cell>
        </row>
        <row r="410">
          <cell r="A410">
            <v>409</v>
          </cell>
          <cell r="B410">
            <v>408</v>
          </cell>
          <cell r="C410">
            <v>0.2727</v>
          </cell>
          <cell r="D410">
            <v>0.93</v>
          </cell>
          <cell r="E410">
            <v>0</v>
          </cell>
          <cell r="F410">
            <v>0</v>
          </cell>
          <cell r="G410">
            <v>3</v>
          </cell>
          <cell r="H410">
            <v>3</v>
          </cell>
        </row>
        <row r="411">
          <cell r="A411">
            <v>410</v>
          </cell>
          <cell r="B411">
            <v>409</v>
          </cell>
          <cell r="C411">
            <v>0.2273</v>
          </cell>
          <cell r="D411">
            <v>0.93</v>
          </cell>
          <cell r="E411">
            <v>0.1343</v>
          </cell>
          <cell r="F411">
            <v>1</v>
          </cell>
          <cell r="G411">
            <v>6</v>
          </cell>
          <cell r="H411">
            <v>7</v>
          </cell>
        </row>
        <row r="412">
          <cell r="A412">
            <v>411</v>
          </cell>
          <cell r="B412">
            <v>410</v>
          </cell>
          <cell r="C412">
            <v>0.2273</v>
          </cell>
          <cell r="D412">
            <v>0.93</v>
          </cell>
          <cell r="E412">
            <v>0.1343</v>
          </cell>
          <cell r="F412">
            <v>0</v>
          </cell>
          <cell r="G412">
            <v>3</v>
          </cell>
          <cell r="H412">
            <v>3</v>
          </cell>
        </row>
        <row r="413">
          <cell r="A413">
            <v>412</v>
          </cell>
          <cell r="B413">
            <v>411</v>
          </cell>
          <cell r="C413">
            <v>0.2273</v>
          </cell>
          <cell r="D413">
            <v>0.93</v>
          </cell>
          <cell r="E413">
            <v>0.1343</v>
          </cell>
          <cell r="F413">
            <v>1</v>
          </cell>
          <cell r="G413">
            <v>1</v>
          </cell>
          <cell r="H413">
            <v>2</v>
          </cell>
        </row>
        <row r="414">
          <cell r="A414">
            <v>413</v>
          </cell>
          <cell r="B414">
            <v>412</v>
          </cell>
          <cell r="C414">
            <v>0.2576</v>
          </cell>
          <cell r="D414">
            <v>0.93</v>
          </cell>
          <cell r="E414">
            <v>8.9599999999999999E-2</v>
          </cell>
          <cell r="F414">
            <v>0</v>
          </cell>
          <cell r="G414">
            <v>7</v>
          </cell>
          <cell r="H414">
            <v>7</v>
          </cell>
        </row>
        <row r="415">
          <cell r="A415">
            <v>414</v>
          </cell>
          <cell r="B415">
            <v>413</v>
          </cell>
          <cell r="C415">
            <v>0.2576</v>
          </cell>
          <cell r="D415">
            <v>0.93</v>
          </cell>
          <cell r="E415">
            <v>8.9599999999999999E-2</v>
          </cell>
          <cell r="F415">
            <v>0</v>
          </cell>
          <cell r="G415">
            <v>32</v>
          </cell>
          <cell r="H415">
            <v>32</v>
          </cell>
        </row>
        <row r="416">
          <cell r="A416">
            <v>415</v>
          </cell>
          <cell r="B416">
            <v>414</v>
          </cell>
          <cell r="C416">
            <v>0.2576</v>
          </cell>
          <cell r="D416">
            <v>0.92</v>
          </cell>
          <cell r="E416">
            <v>0.1045</v>
          </cell>
          <cell r="F416">
            <v>1</v>
          </cell>
          <cell r="G416">
            <v>89</v>
          </cell>
          <cell r="H416">
            <v>90</v>
          </cell>
        </row>
        <row r="417">
          <cell r="A417">
            <v>416</v>
          </cell>
          <cell r="B417">
            <v>415</v>
          </cell>
          <cell r="C417">
            <v>0.2576</v>
          </cell>
          <cell r="D417">
            <v>0.93</v>
          </cell>
          <cell r="E417">
            <v>0.1045</v>
          </cell>
          <cell r="F417">
            <v>1</v>
          </cell>
          <cell r="G417">
            <v>196</v>
          </cell>
          <cell r="H417">
            <v>197</v>
          </cell>
        </row>
        <row r="418">
          <cell r="A418">
            <v>417</v>
          </cell>
          <cell r="B418">
            <v>416</v>
          </cell>
          <cell r="C418">
            <v>0.2576</v>
          </cell>
          <cell r="D418">
            <v>0.93</v>
          </cell>
          <cell r="E418">
            <v>0.1045</v>
          </cell>
          <cell r="F418">
            <v>2</v>
          </cell>
          <cell r="G418">
            <v>107</v>
          </cell>
          <cell r="H418">
            <v>109</v>
          </cell>
        </row>
        <row r="419">
          <cell r="A419">
            <v>418</v>
          </cell>
          <cell r="B419">
            <v>417</v>
          </cell>
          <cell r="C419">
            <v>0.2727</v>
          </cell>
          <cell r="D419">
            <v>0.93</v>
          </cell>
          <cell r="E419">
            <v>0.1343</v>
          </cell>
          <cell r="F419">
            <v>1</v>
          </cell>
          <cell r="G419">
            <v>46</v>
          </cell>
          <cell r="H419">
            <v>47</v>
          </cell>
        </row>
        <row r="420">
          <cell r="A420">
            <v>419</v>
          </cell>
          <cell r="B420">
            <v>418</v>
          </cell>
          <cell r="C420">
            <v>0.30299999999999999</v>
          </cell>
          <cell r="D420">
            <v>0.87</v>
          </cell>
          <cell r="E420">
            <v>8.9599999999999999E-2</v>
          </cell>
          <cell r="F420">
            <v>5</v>
          </cell>
          <cell r="G420">
            <v>47</v>
          </cell>
          <cell r="H420">
            <v>52</v>
          </cell>
        </row>
        <row r="421">
          <cell r="A421">
            <v>420</v>
          </cell>
          <cell r="B421">
            <v>419</v>
          </cell>
          <cell r="C421">
            <v>0.31819999999999998</v>
          </cell>
          <cell r="D421">
            <v>0.81</v>
          </cell>
          <cell r="E421">
            <v>8.9599999999999999E-2</v>
          </cell>
          <cell r="F421">
            <v>5</v>
          </cell>
          <cell r="G421">
            <v>65</v>
          </cell>
          <cell r="H421">
            <v>70</v>
          </cell>
        </row>
        <row r="422">
          <cell r="A422">
            <v>421</v>
          </cell>
          <cell r="B422">
            <v>420</v>
          </cell>
          <cell r="C422">
            <v>0.40910000000000002</v>
          </cell>
          <cell r="D422">
            <v>0.62</v>
          </cell>
          <cell r="E422">
            <v>0.28360000000000002</v>
          </cell>
          <cell r="F422">
            <v>11</v>
          </cell>
          <cell r="G422">
            <v>67</v>
          </cell>
          <cell r="H422">
            <v>78</v>
          </cell>
        </row>
        <row r="423">
          <cell r="A423">
            <v>422</v>
          </cell>
          <cell r="B423">
            <v>421</v>
          </cell>
          <cell r="C423">
            <v>0.40910000000000002</v>
          </cell>
          <cell r="D423">
            <v>0.57999999999999996</v>
          </cell>
          <cell r="E423">
            <v>0.25369999999999998</v>
          </cell>
          <cell r="F423">
            <v>7</v>
          </cell>
          <cell r="G423">
            <v>68</v>
          </cell>
          <cell r="H423">
            <v>75</v>
          </cell>
        </row>
        <row r="424">
          <cell r="A424">
            <v>423</v>
          </cell>
          <cell r="B424">
            <v>422</v>
          </cell>
          <cell r="C424">
            <v>0.40910000000000002</v>
          </cell>
          <cell r="D424">
            <v>0.54</v>
          </cell>
          <cell r="E424">
            <v>0.28360000000000002</v>
          </cell>
          <cell r="F424">
            <v>4</v>
          </cell>
          <cell r="G424">
            <v>78</v>
          </cell>
          <cell r="H424">
            <v>82</v>
          </cell>
        </row>
        <row r="425">
          <cell r="A425">
            <v>424</v>
          </cell>
          <cell r="B425">
            <v>423</v>
          </cell>
          <cell r="C425">
            <v>0.39389999999999997</v>
          </cell>
          <cell r="D425">
            <v>0.57999999999999996</v>
          </cell>
          <cell r="E425">
            <v>0.3881</v>
          </cell>
          <cell r="F425">
            <v>10</v>
          </cell>
          <cell r="G425">
            <v>94</v>
          </cell>
          <cell r="H425">
            <v>104</v>
          </cell>
        </row>
        <row r="426">
          <cell r="A426">
            <v>425</v>
          </cell>
          <cell r="B426">
            <v>424</v>
          </cell>
          <cell r="C426">
            <v>0.33329999999999999</v>
          </cell>
          <cell r="D426">
            <v>0.56999999999999995</v>
          </cell>
          <cell r="E426">
            <v>0.32840000000000003</v>
          </cell>
          <cell r="F426">
            <v>7</v>
          </cell>
          <cell r="G426">
            <v>190</v>
          </cell>
          <cell r="H426">
            <v>197</v>
          </cell>
        </row>
        <row r="427">
          <cell r="A427">
            <v>426</v>
          </cell>
          <cell r="B427">
            <v>425</v>
          </cell>
          <cell r="C427">
            <v>0.31819999999999998</v>
          </cell>
          <cell r="D427">
            <v>0.61</v>
          </cell>
          <cell r="E427">
            <v>0.28360000000000002</v>
          </cell>
          <cell r="F427">
            <v>5</v>
          </cell>
          <cell r="G427">
            <v>156</v>
          </cell>
          <cell r="H427">
            <v>161</v>
          </cell>
        </row>
        <row r="428">
          <cell r="A428">
            <v>427</v>
          </cell>
          <cell r="B428">
            <v>426</v>
          </cell>
          <cell r="C428">
            <v>0.28789999999999999</v>
          </cell>
          <cell r="D428">
            <v>0.56999999999999995</v>
          </cell>
          <cell r="E428">
            <v>0.41789999999999999</v>
          </cell>
          <cell r="F428">
            <v>4</v>
          </cell>
          <cell r="G428">
            <v>108</v>
          </cell>
          <cell r="H428">
            <v>112</v>
          </cell>
        </row>
        <row r="429">
          <cell r="A429">
            <v>428</v>
          </cell>
          <cell r="B429">
            <v>427</v>
          </cell>
          <cell r="C429">
            <v>0.30299999999999999</v>
          </cell>
          <cell r="D429">
            <v>0.49</v>
          </cell>
          <cell r="E429">
            <v>0.29849999999999999</v>
          </cell>
          <cell r="F429">
            <v>2</v>
          </cell>
          <cell r="G429">
            <v>74</v>
          </cell>
          <cell r="H429">
            <v>76</v>
          </cell>
        </row>
        <row r="430">
          <cell r="A430">
            <v>429</v>
          </cell>
          <cell r="B430">
            <v>428</v>
          </cell>
          <cell r="C430">
            <v>0.28789999999999999</v>
          </cell>
          <cell r="D430">
            <v>0.49</v>
          </cell>
          <cell r="E430">
            <v>0.41789999999999999</v>
          </cell>
          <cell r="F430">
            <v>4</v>
          </cell>
          <cell r="G430">
            <v>55</v>
          </cell>
          <cell r="H430">
            <v>59</v>
          </cell>
        </row>
        <row r="431">
          <cell r="A431">
            <v>430</v>
          </cell>
          <cell r="B431">
            <v>429</v>
          </cell>
          <cell r="C431">
            <v>0.30299999999999999</v>
          </cell>
          <cell r="D431">
            <v>0.52</v>
          </cell>
          <cell r="E431">
            <v>0.16420000000000001</v>
          </cell>
          <cell r="F431">
            <v>6</v>
          </cell>
          <cell r="G431">
            <v>53</v>
          </cell>
          <cell r="H431">
            <v>59</v>
          </cell>
        </row>
        <row r="432">
          <cell r="A432">
            <v>431</v>
          </cell>
          <cell r="B432">
            <v>430</v>
          </cell>
          <cell r="C432">
            <v>0.2727</v>
          </cell>
          <cell r="D432">
            <v>0.52</v>
          </cell>
          <cell r="E432">
            <v>0.4627</v>
          </cell>
          <cell r="F432">
            <v>1</v>
          </cell>
          <cell r="G432">
            <v>27</v>
          </cell>
          <cell r="H432">
            <v>28</v>
          </cell>
        </row>
        <row r="433">
          <cell r="A433">
            <v>432</v>
          </cell>
          <cell r="B433">
            <v>431</v>
          </cell>
          <cell r="C433">
            <v>0.2273</v>
          </cell>
          <cell r="D433">
            <v>0.56000000000000005</v>
          </cell>
          <cell r="E433">
            <v>0.3881</v>
          </cell>
          <cell r="F433">
            <v>5</v>
          </cell>
          <cell r="G433">
            <v>8</v>
          </cell>
          <cell r="H433">
            <v>13</v>
          </cell>
        </row>
        <row r="434">
          <cell r="A434">
            <v>433</v>
          </cell>
          <cell r="B434">
            <v>432</v>
          </cell>
          <cell r="C434">
            <v>0.2727</v>
          </cell>
          <cell r="D434">
            <v>0.56000000000000005</v>
          </cell>
          <cell r="E434">
            <v>0</v>
          </cell>
          <cell r="F434">
            <v>2</v>
          </cell>
          <cell r="G434">
            <v>3</v>
          </cell>
          <cell r="H434">
            <v>5</v>
          </cell>
        </row>
        <row r="435">
          <cell r="A435">
            <v>434</v>
          </cell>
          <cell r="B435">
            <v>433</v>
          </cell>
          <cell r="C435">
            <v>0.2727</v>
          </cell>
          <cell r="D435">
            <v>0.56000000000000005</v>
          </cell>
          <cell r="E435">
            <v>0</v>
          </cell>
          <cell r="F435">
            <v>0</v>
          </cell>
          <cell r="G435">
            <v>2</v>
          </cell>
          <cell r="H435">
            <v>2</v>
          </cell>
        </row>
        <row r="436">
          <cell r="A436">
            <v>435</v>
          </cell>
          <cell r="B436">
            <v>434</v>
          </cell>
          <cell r="C436">
            <v>0.2576</v>
          </cell>
          <cell r="D436">
            <v>0.56000000000000005</v>
          </cell>
          <cell r="E436">
            <v>0.16420000000000001</v>
          </cell>
          <cell r="F436">
            <v>0</v>
          </cell>
          <cell r="G436">
            <v>1</v>
          </cell>
          <cell r="H436">
            <v>1</v>
          </cell>
        </row>
        <row r="437">
          <cell r="A437">
            <v>436</v>
          </cell>
          <cell r="B437">
            <v>435</v>
          </cell>
          <cell r="C437">
            <v>0.2576</v>
          </cell>
          <cell r="D437">
            <v>0.56000000000000005</v>
          </cell>
          <cell r="E437">
            <v>0.16420000000000001</v>
          </cell>
          <cell r="F437">
            <v>0</v>
          </cell>
          <cell r="G437">
            <v>1</v>
          </cell>
          <cell r="H437">
            <v>1</v>
          </cell>
        </row>
        <row r="438">
          <cell r="A438">
            <v>437</v>
          </cell>
          <cell r="B438">
            <v>436</v>
          </cell>
          <cell r="C438">
            <v>0.2273</v>
          </cell>
          <cell r="D438">
            <v>0.6</v>
          </cell>
          <cell r="E438">
            <v>0.22389999999999999</v>
          </cell>
          <cell r="F438">
            <v>0</v>
          </cell>
          <cell r="G438">
            <v>6</v>
          </cell>
          <cell r="H438">
            <v>6</v>
          </cell>
        </row>
        <row r="439">
          <cell r="A439">
            <v>438</v>
          </cell>
          <cell r="B439">
            <v>437</v>
          </cell>
          <cell r="C439">
            <v>0.21210000000000001</v>
          </cell>
          <cell r="D439">
            <v>0.6</v>
          </cell>
          <cell r="E439">
            <v>0.22389999999999999</v>
          </cell>
          <cell r="F439">
            <v>0</v>
          </cell>
          <cell r="G439">
            <v>35</v>
          </cell>
          <cell r="H439">
            <v>35</v>
          </cell>
        </row>
        <row r="440">
          <cell r="A440">
            <v>439</v>
          </cell>
          <cell r="B440">
            <v>438</v>
          </cell>
          <cell r="C440">
            <v>0.21210000000000001</v>
          </cell>
          <cell r="D440">
            <v>0.55000000000000004</v>
          </cell>
          <cell r="E440">
            <v>0.22389999999999999</v>
          </cell>
          <cell r="F440">
            <v>1</v>
          </cell>
          <cell r="G440">
            <v>100</v>
          </cell>
          <cell r="H440">
            <v>101</v>
          </cell>
        </row>
        <row r="441">
          <cell r="A441">
            <v>440</v>
          </cell>
          <cell r="B441">
            <v>439</v>
          </cell>
          <cell r="C441">
            <v>0.21210000000000001</v>
          </cell>
          <cell r="D441">
            <v>0.55000000000000004</v>
          </cell>
          <cell r="E441">
            <v>0.28360000000000002</v>
          </cell>
          <cell r="F441">
            <v>2</v>
          </cell>
          <cell r="G441">
            <v>247</v>
          </cell>
          <cell r="H441">
            <v>249</v>
          </cell>
        </row>
        <row r="442">
          <cell r="A442">
            <v>441</v>
          </cell>
          <cell r="B442">
            <v>440</v>
          </cell>
          <cell r="C442">
            <v>0.2273</v>
          </cell>
          <cell r="D442">
            <v>0.52</v>
          </cell>
          <cell r="E442">
            <v>0.22389999999999999</v>
          </cell>
          <cell r="F442">
            <v>3</v>
          </cell>
          <cell r="G442">
            <v>140</v>
          </cell>
          <cell r="H442">
            <v>143</v>
          </cell>
        </row>
        <row r="443">
          <cell r="A443">
            <v>442</v>
          </cell>
          <cell r="B443">
            <v>441</v>
          </cell>
          <cell r="C443">
            <v>0.2273</v>
          </cell>
          <cell r="D443">
            <v>0.48</v>
          </cell>
          <cell r="E443">
            <v>0.29849999999999999</v>
          </cell>
          <cell r="F443">
            <v>1</v>
          </cell>
          <cell r="G443">
            <v>56</v>
          </cell>
          <cell r="H443">
            <v>57</v>
          </cell>
        </row>
        <row r="444">
          <cell r="A444">
            <v>443</v>
          </cell>
          <cell r="B444">
            <v>442</v>
          </cell>
          <cell r="C444">
            <v>0.2727</v>
          </cell>
          <cell r="D444">
            <v>0.45</v>
          </cell>
          <cell r="E444">
            <v>0.16420000000000001</v>
          </cell>
          <cell r="F444">
            <v>5</v>
          </cell>
          <cell r="G444">
            <v>63</v>
          </cell>
          <cell r="H444">
            <v>68</v>
          </cell>
        </row>
        <row r="445">
          <cell r="A445">
            <v>444</v>
          </cell>
          <cell r="B445">
            <v>443</v>
          </cell>
          <cell r="C445">
            <v>0.33329999999999999</v>
          </cell>
          <cell r="D445">
            <v>0.42</v>
          </cell>
          <cell r="E445">
            <v>0</v>
          </cell>
          <cell r="F445">
            <v>7</v>
          </cell>
          <cell r="G445">
            <v>77</v>
          </cell>
          <cell r="H445">
            <v>84</v>
          </cell>
        </row>
        <row r="446">
          <cell r="A446">
            <v>445</v>
          </cell>
          <cell r="B446">
            <v>444</v>
          </cell>
          <cell r="C446">
            <v>0.28789999999999999</v>
          </cell>
          <cell r="D446">
            <v>0.45</v>
          </cell>
          <cell r="E446">
            <v>0.1045</v>
          </cell>
          <cell r="F446">
            <v>12</v>
          </cell>
          <cell r="G446">
            <v>86</v>
          </cell>
          <cell r="H446">
            <v>98</v>
          </cell>
        </row>
        <row r="447">
          <cell r="A447">
            <v>446</v>
          </cell>
          <cell r="B447">
            <v>445</v>
          </cell>
          <cell r="C447">
            <v>0.30299999999999999</v>
          </cell>
          <cell r="D447">
            <v>0.45</v>
          </cell>
          <cell r="E447">
            <v>0.1343</v>
          </cell>
          <cell r="F447">
            <v>6</v>
          </cell>
          <cell r="G447">
            <v>75</v>
          </cell>
          <cell r="H447">
            <v>81</v>
          </cell>
        </row>
        <row r="448">
          <cell r="A448">
            <v>447</v>
          </cell>
          <cell r="B448">
            <v>446</v>
          </cell>
          <cell r="C448">
            <v>0.31819999999999998</v>
          </cell>
          <cell r="D448">
            <v>0.45</v>
          </cell>
          <cell r="E448">
            <v>0.19400000000000001</v>
          </cell>
          <cell r="F448">
            <v>8</v>
          </cell>
          <cell r="G448">
            <v>62</v>
          </cell>
          <cell r="H448">
            <v>70</v>
          </cell>
        </row>
        <row r="449">
          <cell r="A449">
            <v>448</v>
          </cell>
          <cell r="B449">
            <v>447</v>
          </cell>
          <cell r="C449">
            <v>0.30299999999999999</v>
          </cell>
          <cell r="D449">
            <v>0.49</v>
          </cell>
          <cell r="E449">
            <v>0.1343</v>
          </cell>
          <cell r="F449">
            <v>8</v>
          </cell>
          <cell r="G449">
            <v>83</v>
          </cell>
          <cell r="H449">
            <v>91</v>
          </cell>
        </row>
        <row r="450">
          <cell r="A450">
            <v>449</v>
          </cell>
          <cell r="B450">
            <v>448</v>
          </cell>
          <cell r="C450">
            <v>0.31819999999999998</v>
          </cell>
          <cell r="D450">
            <v>0.49</v>
          </cell>
          <cell r="E450">
            <v>0.1045</v>
          </cell>
          <cell r="F450">
            <v>8</v>
          </cell>
          <cell r="G450">
            <v>207</v>
          </cell>
          <cell r="H450">
            <v>215</v>
          </cell>
        </row>
        <row r="451">
          <cell r="A451">
            <v>450</v>
          </cell>
          <cell r="B451">
            <v>449</v>
          </cell>
          <cell r="C451">
            <v>0.2576</v>
          </cell>
          <cell r="D451">
            <v>0.56000000000000005</v>
          </cell>
          <cell r="E451">
            <v>0.19400000000000001</v>
          </cell>
          <cell r="F451">
            <v>1</v>
          </cell>
          <cell r="G451">
            <v>184</v>
          </cell>
          <cell r="H451">
            <v>185</v>
          </cell>
        </row>
        <row r="452">
          <cell r="A452">
            <v>451</v>
          </cell>
          <cell r="B452">
            <v>450</v>
          </cell>
          <cell r="C452">
            <v>0.2273</v>
          </cell>
          <cell r="D452">
            <v>0.56000000000000005</v>
          </cell>
          <cell r="E452">
            <v>0.32840000000000003</v>
          </cell>
          <cell r="F452">
            <v>6</v>
          </cell>
          <cell r="G452">
            <v>146</v>
          </cell>
          <cell r="H452">
            <v>152</v>
          </cell>
        </row>
        <row r="453">
          <cell r="A453">
            <v>452</v>
          </cell>
          <cell r="B453">
            <v>451</v>
          </cell>
          <cell r="C453">
            <v>0.2424</v>
          </cell>
          <cell r="D453">
            <v>0.6</v>
          </cell>
          <cell r="E453">
            <v>0.28360000000000002</v>
          </cell>
          <cell r="F453">
            <v>2</v>
          </cell>
          <cell r="G453">
            <v>124</v>
          </cell>
          <cell r="H453">
            <v>126</v>
          </cell>
        </row>
        <row r="454">
          <cell r="A454">
            <v>453</v>
          </cell>
          <cell r="B454">
            <v>452</v>
          </cell>
          <cell r="C454">
            <v>0.2273</v>
          </cell>
          <cell r="D454">
            <v>0.6</v>
          </cell>
          <cell r="E454">
            <v>0.25369999999999998</v>
          </cell>
          <cell r="F454">
            <v>3</v>
          </cell>
          <cell r="G454">
            <v>54</v>
          </cell>
          <cell r="H454">
            <v>57</v>
          </cell>
        </row>
        <row r="455">
          <cell r="A455">
            <v>454</v>
          </cell>
          <cell r="B455">
            <v>453</v>
          </cell>
          <cell r="C455">
            <v>0.21210000000000001</v>
          </cell>
          <cell r="D455">
            <v>0.65</v>
          </cell>
          <cell r="E455">
            <v>0.28360000000000002</v>
          </cell>
          <cell r="F455">
            <v>0</v>
          </cell>
          <cell r="G455">
            <v>56</v>
          </cell>
          <cell r="H455">
            <v>56</v>
          </cell>
        </row>
        <row r="456">
          <cell r="A456">
            <v>455</v>
          </cell>
          <cell r="B456">
            <v>454</v>
          </cell>
          <cell r="C456">
            <v>0.21210000000000001</v>
          </cell>
          <cell r="D456">
            <v>0.65</v>
          </cell>
          <cell r="E456">
            <v>0.32840000000000003</v>
          </cell>
          <cell r="F456">
            <v>3</v>
          </cell>
          <cell r="G456">
            <v>28</v>
          </cell>
          <cell r="H456">
            <v>31</v>
          </cell>
        </row>
        <row r="457">
          <cell r="A457">
            <v>456</v>
          </cell>
          <cell r="B457">
            <v>455</v>
          </cell>
          <cell r="C457">
            <v>0.2273</v>
          </cell>
          <cell r="D457">
            <v>0.7</v>
          </cell>
          <cell r="E457">
            <v>0.25369999999999998</v>
          </cell>
          <cell r="F457">
            <v>1</v>
          </cell>
          <cell r="G457">
            <v>20</v>
          </cell>
          <cell r="H457">
            <v>21</v>
          </cell>
        </row>
        <row r="458">
          <cell r="A458">
            <v>457</v>
          </cell>
          <cell r="B458">
            <v>456</v>
          </cell>
          <cell r="C458">
            <v>0.2273</v>
          </cell>
          <cell r="D458">
            <v>0.7</v>
          </cell>
          <cell r="E458">
            <v>0.25369999999999998</v>
          </cell>
          <cell r="F458">
            <v>0</v>
          </cell>
          <cell r="G458">
            <v>6</v>
          </cell>
          <cell r="H458">
            <v>6</v>
          </cell>
        </row>
        <row r="459">
          <cell r="A459">
            <v>458</v>
          </cell>
          <cell r="B459">
            <v>457</v>
          </cell>
          <cell r="C459">
            <v>0.2424</v>
          </cell>
          <cell r="D459">
            <v>0.75</v>
          </cell>
          <cell r="E459">
            <v>0.16420000000000001</v>
          </cell>
          <cell r="F459">
            <v>0</v>
          </cell>
          <cell r="G459">
            <v>2</v>
          </cell>
          <cell r="H459">
            <v>2</v>
          </cell>
        </row>
        <row r="460">
          <cell r="A460">
            <v>459</v>
          </cell>
          <cell r="B460">
            <v>458</v>
          </cell>
          <cell r="C460">
            <v>0.21210000000000001</v>
          </cell>
          <cell r="D460">
            <v>0.8</v>
          </cell>
          <cell r="E460">
            <v>0.29849999999999999</v>
          </cell>
          <cell r="F460">
            <v>0</v>
          </cell>
          <cell r="G460">
            <v>1</v>
          </cell>
          <cell r="H460">
            <v>1</v>
          </cell>
        </row>
        <row r="461">
          <cell r="A461">
            <v>460</v>
          </cell>
          <cell r="B461">
            <v>459</v>
          </cell>
          <cell r="C461">
            <v>0.2576</v>
          </cell>
          <cell r="D461">
            <v>0.87</v>
          </cell>
          <cell r="E461">
            <v>8.9599999999999999E-2</v>
          </cell>
          <cell r="F461">
            <v>0</v>
          </cell>
          <cell r="G461">
            <v>1</v>
          </cell>
          <cell r="H461">
            <v>1</v>
          </cell>
        </row>
        <row r="462">
          <cell r="A462">
            <v>461</v>
          </cell>
          <cell r="B462">
            <v>460</v>
          </cell>
          <cell r="C462">
            <v>0.19700000000000001</v>
          </cell>
          <cell r="D462">
            <v>0.6</v>
          </cell>
          <cell r="E462">
            <v>0.41789999999999999</v>
          </cell>
          <cell r="F462">
            <v>1</v>
          </cell>
          <cell r="G462">
            <v>4</v>
          </cell>
          <cell r="H462">
            <v>5</v>
          </cell>
        </row>
        <row r="463">
          <cell r="A463">
            <v>462</v>
          </cell>
          <cell r="B463">
            <v>461</v>
          </cell>
          <cell r="C463">
            <v>0.21210000000000001</v>
          </cell>
          <cell r="D463">
            <v>0.55000000000000004</v>
          </cell>
          <cell r="E463">
            <v>0.25369999999999998</v>
          </cell>
          <cell r="F463">
            <v>0</v>
          </cell>
          <cell r="G463">
            <v>27</v>
          </cell>
          <cell r="H463">
            <v>27</v>
          </cell>
        </row>
        <row r="464">
          <cell r="A464">
            <v>463</v>
          </cell>
          <cell r="B464">
            <v>462</v>
          </cell>
          <cell r="C464">
            <v>0.18179999999999999</v>
          </cell>
          <cell r="D464">
            <v>0.51</v>
          </cell>
          <cell r="E464">
            <v>0.28360000000000002</v>
          </cell>
          <cell r="F464">
            <v>2</v>
          </cell>
          <cell r="G464">
            <v>66</v>
          </cell>
          <cell r="H464">
            <v>68</v>
          </cell>
        </row>
        <row r="465">
          <cell r="A465">
            <v>464</v>
          </cell>
          <cell r="B465">
            <v>463</v>
          </cell>
          <cell r="C465">
            <v>0.18179999999999999</v>
          </cell>
          <cell r="D465">
            <v>0.47</v>
          </cell>
          <cell r="E465">
            <v>0.32840000000000003</v>
          </cell>
          <cell r="F465">
            <v>7</v>
          </cell>
          <cell r="G465">
            <v>210</v>
          </cell>
          <cell r="H465">
            <v>217</v>
          </cell>
        </row>
        <row r="466">
          <cell r="A466">
            <v>465</v>
          </cell>
          <cell r="B466">
            <v>464</v>
          </cell>
          <cell r="C466">
            <v>0.18179999999999999</v>
          </cell>
          <cell r="D466">
            <v>0.51</v>
          </cell>
          <cell r="E466">
            <v>0.35820000000000002</v>
          </cell>
          <cell r="F466">
            <v>7</v>
          </cell>
          <cell r="G466">
            <v>159</v>
          </cell>
          <cell r="H466">
            <v>166</v>
          </cell>
        </row>
        <row r="467">
          <cell r="A467">
            <v>466</v>
          </cell>
          <cell r="B467">
            <v>465</v>
          </cell>
          <cell r="C467">
            <v>0.16669999999999999</v>
          </cell>
          <cell r="D467">
            <v>0.47</v>
          </cell>
          <cell r="E467">
            <v>0.4627</v>
          </cell>
          <cell r="F467">
            <v>6</v>
          </cell>
          <cell r="G467">
            <v>57</v>
          </cell>
          <cell r="H467">
            <v>63</v>
          </cell>
        </row>
        <row r="468">
          <cell r="A468">
            <v>467</v>
          </cell>
          <cell r="B468">
            <v>466</v>
          </cell>
          <cell r="C468">
            <v>0.18179999999999999</v>
          </cell>
          <cell r="D468">
            <v>0.41</v>
          </cell>
          <cell r="E468">
            <v>0.4627</v>
          </cell>
          <cell r="F468">
            <v>6</v>
          </cell>
          <cell r="G468">
            <v>53</v>
          </cell>
          <cell r="H468">
            <v>59</v>
          </cell>
        </row>
        <row r="469">
          <cell r="A469">
            <v>468</v>
          </cell>
          <cell r="B469">
            <v>467</v>
          </cell>
          <cell r="C469">
            <v>0.18179999999999999</v>
          </cell>
          <cell r="D469">
            <v>0.27</v>
          </cell>
          <cell r="E469">
            <v>0.58209999999999995</v>
          </cell>
          <cell r="F469">
            <v>11</v>
          </cell>
          <cell r="G469">
            <v>67</v>
          </cell>
          <cell r="H469">
            <v>78</v>
          </cell>
        </row>
        <row r="470">
          <cell r="A470">
            <v>469</v>
          </cell>
          <cell r="B470">
            <v>468</v>
          </cell>
          <cell r="C470">
            <v>0.1515</v>
          </cell>
          <cell r="D470">
            <v>0.21</v>
          </cell>
          <cell r="E470">
            <v>0.58209999999999995</v>
          </cell>
          <cell r="F470">
            <v>8</v>
          </cell>
          <cell r="G470">
            <v>65</v>
          </cell>
          <cell r="H470">
            <v>73</v>
          </cell>
        </row>
        <row r="471">
          <cell r="A471">
            <v>470</v>
          </cell>
          <cell r="B471">
            <v>469</v>
          </cell>
          <cell r="C471">
            <v>0.1515</v>
          </cell>
          <cell r="D471">
            <v>0.25</v>
          </cell>
          <cell r="E471">
            <v>0.52239999999999998</v>
          </cell>
          <cell r="F471">
            <v>6</v>
          </cell>
          <cell r="G471">
            <v>56</v>
          </cell>
          <cell r="H471">
            <v>62</v>
          </cell>
        </row>
        <row r="472">
          <cell r="A472">
            <v>471</v>
          </cell>
          <cell r="B472">
            <v>470</v>
          </cell>
          <cell r="C472">
            <v>0.1212</v>
          </cell>
          <cell r="D472">
            <v>0.26</v>
          </cell>
          <cell r="E472">
            <v>0.44779999999999998</v>
          </cell>
          <cell r="F472">
            <v>4</v>
          </cell>
          <cell r="G472">
            <v>61</v>
          </cell>
          <cell r="H472">
            <v>65</v>
          </cell>
        </row>
        <row r="473">
          <cell r="A473">
            <v>472</v>
          </cell>
          <cell r="B473">
            <v>471</v>
          </cell>
          <cell r="C473">
            <v>0.13639999999999999</v>
          </cell>
          <cell r="D473">
            <v>0.26</v>
          </cell>
          <cell r="E473">
            <v>0.35820000000000002</v>
          </cell>
          <cell r="F473">
            <v>0</v>
          </cell>
          <cell r="G473">
            <v>97</v>
          </cell>
          <cell r="H473">
            <v>97</v>
          </cell>
        </row>
        <row r="474">
          <cell r="A474">
            <v>473</v>
          </cell>
          <cell r="B474">
            <v>472</v>
          </cell>
          <cell r="C474">
            <v>0.1212</v>
          </cell>
          <cell r="D474">
            <v>0.28000000000000003</v>
          </cell>
          <cell r="E474">
            <v>0.35820000000000002</v>
          </cell>
          <cell r="F474">
            <v>10</v>
          </cell>
          <cell r="G474">
            <v>151</v>
          </cell>
          <cell r="H474">
            <v>161</v>
          </cell>
        </row>
        <row r="475">
          <cell r="A475">
            <v>474</v>
          </cell>
          <cell r="B475">
            <v>473</v>
          </cell>
          <cell r="C475">
            <v>0.1212</v>
          </cell>
          <cell r="D475">
            <v>0.3</v>
          </cell>
          <cell r="E475">
            <v>0.25369999999999998</v>
          </cell>
          <cell r="F475">
            <v>1</v>
          </cell>
          <cell r="G475">
            <v>119</v>
          </cell>
          <cell r="H475">
            <v>120</v>
          </cell>
        </row>
        <row r="476">
          <cell r="A476">
            <v>475</v>
          </cell>
          <cell r="B476">
            <v>474</v>
          </cell>
          <cell r="C476">
            <v>0.1061</v>
          </cell>
          <cell r="D476">
            <v>0.3</v>
          </cell>
          <cell r="E476">
            <v>0.32840000000000003</v>
          </cell>
          <cell r="F476">
            <v>3</v>
          </cell>
          <cell r="G476">
            <v>93</v>
          </cell>
          <cell r="H476">
            <v>96</v>
          </cell>
        </row>
        <row r="477">
          <cell r="A477">
            <v>476</v>
          </cell>
          <cell r="B477">
            <v>475</v>
          </cell>
          <cell r="C477">
            <v>7.5800000000000006E-2</v>
          </cell>
          <cell r="D477">
            <v>0.33</v>
          </cell>
          <cell r="E477">
            <v>0.41789999999999999</v>
          </cell>
          <cell r="F477">
            <v>1</v>
          </cell>
          <cell r="G477">
            <v>52</v>
          </cell>
          <cell r="H477">
            <v>53</v>
          </cell>
        </row>
        <row r="478">
          <cell r="A478">
            <v>477</v>
          </cell>
          <cell r="B478">
            <v>476</v>
          </cell>
          <cell r="C478">
            <v>7.5800000000000006E-2</v>
          </cell>
          <cell r="D478">
            <v>0.38</v>
          </cell>
          <cell r="E478">
            <v>0.28360000000000002</v>
          </cell>
          <cell r="F478">
            <v>0</v>
          </cell>
          <cell r="G478">
            <v>41</v>
          </cell>
          <cell r="H478">
            <v>41</v>
          </cell>
        </row>
        <row r="479">
          <cell r="A479">
            <v>478</v>
          </cell>
          <cell r="B479">
            <v>477</v>
          </cell>
          <cell r="C479">
            <v>3.0300000000000001E-2</v>
          </cell>
          <cell r="D479">
            <v>0.41</v>
          </cell>
          <cell r="E479">
            <v>0.3881</v>
          </cell>
          <cell r="F479">
            <v>1</v>
          </cell>
          <cell r="G479">
            <v>33</v>
          </cell>
          <cell r="H479">
            <v>34</v>
          </cell>
        </row>
        <row r="480">
          <cell r="A480">
            <v>479</v>
          </cell>
          <cell r="B480">
            <v>478</v>
          </cell>
          <cell r="C480">
            <v>4.5499999999999999E-2</v>
          </cell>
          <cell r="D480">
            <v>0.38</v>
          </cell>
          <cell r="E480">
            <v>0.32840000000000003</v>
          </cell>
          <cell r="F480">
            <v>0</v>
          </cell>
          <cell r="G480">
            <v>27</v>
          </cell>
          <cell r="H480">
            <v>27</v>
          </cell>
        </row>
        <row r="481">
          <cell r="A481">
            <v>480</v>
          </cell>
          <cell r="B481">
            <v>479</v>
          </cell>
          <cell r="C481">
            <v>3.0300000000000001E-2</v>
          </cell>
          <cell r="D481">
            <v>0.45</v>
          </cell>
          <cell r="E481">
            <v>0.25369999999999998</v>
          </cell>
          <cell r="F481">
            <v>0</v>
          </cell>
          <cell r="G481">
            <v>13</v>
          </cell>
          <cell r="H481">
            <v>13</v>
          </cell>
        </row>
        <row r="482">
          <cell r="A482">
            <v>481</v>
          </cell>
          <cell r="B482">
            <v>480</v>
          </cell>
          <cell r="C482">
            <v>0</v>
          </cell>
          <cell r="D482">
            <v>0.41</v>
          </cell>
          <cell r="E482">
            <v>0.3881</v>
          </cell>
          <cell r="F482">
            <v>3</v>
          </cell>
          <cell r="G482">
            <v>9</v>
          </cell>
          <cell r="H482">
            <v>12</v>
          </cell>
        </row>
        <row r="483">
          <cell r="A483">
            <v>482</v>
          </cell>
          <cell r="B483">
            <v>481</v>
          </cell>
          <cell r="C483">
            <v>3.0300000000000001E-2</v>
          </cell>
          <cell r="D483">
            <v>0.41</v>
          </cell>
          <cell r="E483">
            <v>0.25369999999999998</v>
          </cell>
          <cell r="F483">
            <v>0</v>
          </cell>
          <cell r="G483">
            <v>11</v>
          </cell>
          <cell r="H483">
            <v>11</v>
          </cell>
        </row>
        <row r="484">
          <cell r="A484">
            <v>483</v>
          </cell>
          <cell r="B484">
            <v>482</v>
          </cell>
          <cell r="C484">
            <v>3.0300000000000001E-2</v>
          </cell>
          <cell r="D484">
            <v>0.41</v>
          </cell>
          <cell r="E484">
            <v>0.28360000000000002</v>
          </cell>
          <cell r="F484">
            <v>1</v>
          </cell>
          <cell r="G484">
            <v>6</v>
          </cell>
          <cell r="H484">
            <v>7</v>
          </cell>
        </row>
        <row r="485">
          <cell r="A485">
            <v>484</v>
          </cell>
          <cell r="B485">
            <v>483</v>
          </cell>
          <cell r="C485">
            <v>1.52E-2</v>
          </cell>
          <cell r="D485">
            <v>0.48</v>
          </cell>
          <cell r="E485">
            <v>0.29849999999999999</v>
          </cell>
          <cell r="F485">
            <v>0</v>
          </cell>
          <cell r="G485">
            <v>3</v>
          </cell>
          <cell r="H485">
            <v>3</v>
          </cell>
        </row>
        <row r="486">
          <cell r="A486">
            <v>485</v>
          </cell>
          <cell r="B486">
            <v>484</v>
          </cell>
          <cell r="C486">
            <v>3.0300000000000001E-2</v>
          </cell>
          <cell r="D486">
            <v>0.44</v>
          </cell>
          <cell r="E486">
            <v>0.22389999999999999</v>
          </cell>
          <cell r="F486">
            <v>0</v>
          </cell>
          <cell r="G486">
            <v>2</v>
          </cell>
          <cell r="H486">
            <v>2</v>
          </cell>
        </row>
        <row r="487">
          <cell r="A487">
            <v>486</v>
          </cell>
          <cell r="B487">
            <v>485</v>
          </cell>
          <cell r="C487">
            <v>1.52E-2</v>
          </cell>
          <cell r="D487">
            <v>0.44</v>
          </cell>
          <cell r="E487">
            <v>0.28360000000000002</v>
          </cell>
          <cell r="F487">
            <v>0</v>
          </cell>
          <cell r="G487">
            <v>8</v>
          </cell>
          <cell r="H487">
            <v>8</v>
          </cell>
        </row>
        <row r="488">
          <cell r="A488">
            <v>487</v>
          </cell>
          <cell r="B488">
            <v>486</v>
          </cell>
          <cell r="C488">
            <v>0</v>
          </cell>
          <cell r="D488">
            <v>0.44</v>
          </cell>
          <cell r="E488">
            <v>0.32840000000000003</v>
          </cell>
          <cell r="F488">
            <v>1</v>
          </cell>
          <cell r="G488">
            <v>26</v>
          </cell>
          <cell r="H488">
            <v>27</v>
          </cell>
        </row>
        <row r="489">
          <cell r="A489">
            <v>488</v>
          </cell>
          <cell r="B489">
            <v>487</v>
          </cell>
          <cell r="C489">
            <v>3.0300000000000001E-2</v>
          </cell>
          <cell r="D489">
            <v>0.41</v>
          </cell>
          <cell r="E489">
            <v>0.25369999999999998</v>
          </cell>
          <cell r="F489">
            <v>3</v>
          </cell>
          <cell r="G489">
            <v>37</v>
          </cell>
          <cell r="H489">
            <v>40</v>
          </cell>
        </row>
        <row r="490">
          <cell r="A490">
            <v>489</v>
          </cell>
          <cell r="B490">
            <v>488</v>
          </cell>
          <cell r="C490">
            <v>6.0600000000000001E-2</v>
          </cell>
          <cell r="D490">
            <v>0.41</v>
          </cell>
          <cell r="E490">
            <v>0.16420000000000001</v>
          </cell>
          <cell r="F490">
            <v>3</v>
          </cell>
          <cell r="G490">
            <v>50</v>
          </cell>
          <cell r="H490">
            <v>53</v>
          </cell>
        </row>
        <row r="491">
          <cell r="A491">
            <v>490</v>
          </cell>
          <cell r="B491">
            <v>489</v>
          </cell>
          <cell r="C491">
            <v>7.5800000000000006E-2</v>
          </cell>
          <cell r="D491">
            <v>0.38</v>
          </cell>
          <cell r="E491">
            <v>0.1343</v>
          </cell>
          <cell r="F491">
            <v>4</v>
          </cell>
          <cell r="G491">
            <v>59</v>
          </cell>
          <cell r="H491">
            <v>63</v>
          </cell>
        </row>
        <row r="492">
          <cell r="A492">
            <v>491</v>
          </cell>
          <cell r="B492">
            <v>490</v>
          </cell>
          <cell r="C492">
            <v>0.1061</v>
          </cell>
          <cell r="D492">
            <v>0.38</v>
          </cell>
          <cell r="E492">
            <v>0.1045</v>
          </cell>
          <cell r="F492">
            <v>10</v>
          </cell>
          <cell r="G492">
            <v>60</v>
          </cell>
          <cell r="H492">
            <v>70</v>
          </cell>
        </row>
        <row r="493">
          <cell r="A493">
            <v>492</v>
          </cell>
          <cell r="B493">
            <v>491</v>
          </cell>
          <cell r="C493">
            <v>0.16669999999999999</v>
          </cell>
          <cell r="D493">
            <v>0.35</v>
          </cell>
          <cell r="E493">
            <v>0</v>
          </cell>
          <cell r="F493">
            <v>12</v>
          </cell>
          <cell r="G493">
            <v>72</v>
          </cell>
          <cell r="H493">
            <v>84</v>
          </cell>
        </row>
        <row r="494">
          <cell r="A494">
            <v>493</v>
          </cell>
          <cell r="B494">
            <v>492</v>
          </cell>
          <cell r="C494">
            <v>0.13639999999999999</v>
          </cell>
          <cell r="D494">
            <v>0.33</v>
          </cell>
          <cell r="E494">
            <v>0.1045</v>
          </cell>
          <cell r="F494">
            <v>11</v>
          </cell>
          <cell r="G494">
            <v>64</v>
          </cell>
          <cell r="H494">
            <v>75</v>
          </cell>
        </row>
        <row r="495">
          <cell r="A495">
            <v>494</v>
          </cell>
          <cell r="B495">
            <v>493</v>
          </cell>
          <cell r="C495">
            <v>0.1515</v>
          </cell>
          <cell r="D495">
            <v>0.28000000000000003</v>
          </cell>
          <cell r="E495">
            <v>0</v>
          </cell>
          <cell r="F495">
            <v>10</v>
          </cell>
          <cell r="G495">
            <v>93</v>
          </cell>
          <cell r="H495">
            <v>103</v>
          </cell>
        </row>
        <row r="496">
          <cell r="A496">
            <v>495</v>
          </cell>
          <cell r="B496">
            <v>494</v>
          </cell>
          <cell r="C496">
            <v>0.13639999999999999</v>
          </cell>
          <cell r="D496">
            <v>0.28000000000000003</v>
          </cell>
          <cell r="E496">
            <v>0.19400000000000001</v>
          </cell>
          <cell r="F496">
            <v>11</v>
          </cell>
          <cell r="G496">
            <v>72</v>
          </cell>
          <cell r="H496">
            <v>83</v>
          </cell>
        </row>
        <row r="497">
          <cell r="A497">
            <v>496</v>
          </cell>
          <cell r="B497">
            <v>495</v>
          </cell>
          <cell r="C497">
            <v>0.19700000000000001</v>
          </cell>
          <cell r="D497">
            <v>0.28000000000000003</v>
          </cell>
          <cell r="E497">
            <v>0</v>
          </cell>
          <cell r="F497">
            <v>8</v>
          </cell>
          <cell r="G497">
            <v>59</v>
          </cell>
          <cell r="H497">
            <v>67</v>
          </cell>
        </row>
        <row r="498">
          <cell r="A498">
            <v>497</v>
          </cell>
          <cell r="B498">
            <v>496</v>
          </cell>
          <cell r="C498">
            <v>9.0899999999999995E-2</v>
          </cell>
          <cell r="D498">
            <v>0.35</v>
          </cell>
          <cell r="E498">
            <v>0.19400000000000001</v>
          </cell>
          <cell r="F498">
            <v>0</v>
          </cell>
          <cell r="G498">
            <v>54</v>
          </cell>
          <cell r="H498">
            <v>54</v>
          </cell>
        </row>
        <row r="499">
          <cell r="A499">
            <v>498</v>
          </cell>
          <cell r="B499">
            <v>497</v>
          </cell>
          <cell r="C499">
            <v>0.1061</v>
          </cell>
          <cell r="D499">
            <v>0.35</v>
          </cell>
          <cell r="E499">
            <v>0.1343</v>
          </cell>
          <cell r="F499">
            <v>6</v>
          </cell>
          <cell r="G499">
            <v>53</v>
          </cell>
          <cell r="H499">
            <v>59</v>
          </cell>
        </row>
        <row r="500">
          <cell r="A500">
            <v>499</v>
          </cell>
          <cell r="B500">
            <v>498</v>
          </cell>
          <cell r="C500">
            <v>7.5800000000000006E-2</v>
          </cell>
          <cell r="D500">
            <v>0.45</v>
          </cell>
          <cell r="E500">
            <v>0.16420000000000001</v>
          </cell>
          <cell r="F500">
            <v>1</v>
          </cell>
          <cell r="G500">
            <v>44</v>
          </cell>
          <cell r="H500">
            <v>45</v>
          </cell>
        </row>
        <row r="501">
          <cell r="A501">
            <v>500</v>
          </cell>
          <cell r="B501">
            <v>499</v>
          </cell>
          <cell r="C501">
            <v>0.1061</v>
          </cell>
          <cell r="D501">
            <v>0.41</v>
          </cell>
          <cell r="E501">
            <v>8.9599999999999999E-2</v>
          </cell>
          <cell r="F501">
            <v>0</v>
          </cell>
          <cell r="G501">
            <v>39</v>
          </cell>
          <cell r="H501">
            <v>39</v>
          </cell>
        </row>
        <row r="502">
          <cell r="A502">
            <v>501</v>
          </cell>
          <cell r="B502">
            <v>500</v>
          </cell>
          <cell r="C502">
            <v>0.1515</v>
          </cell>
          <cell r="D502">
            <v>0.49</v>
          </cell>
          <cell r="E502">
            <v>0</v>
          </cell>
          <cell r="F502">
            <v>7</v>
          </cell>
          <cell r="G502">
            <v>23</v>
          </cell>
          <cell r="H502">
            <v>30</v>
          </cell>
        </row>
        <row r="503">
          <cell r="A503">
            <v>502</v>
          </cell>
          <cell r="B503">
            <v>501</v>
          </cell>
          <cell r="C503">
            <v>7.5800000000000006E-2</v>
          </cell>
          <cell r="D503">
            <v>0.56999999999999995</v>
          </cell>
          <cell r="E503">
            <v>0.1045</v>
          </cell>
          <cell r="F503">
            <v>2</v>
          </cell>
          <cell r="G503">
            <v>31</v>
          </cell>
          <cell r="H503">
            <v>33</v>
          </cell>
        </row>
        <row r="504">
          <cell r="A504">
            <v>503</v>
          </cell>
          <cell r="B504">
            <v>502</v>
          </cell>
          <cell r="C504">
            <v>7.5800000000000006E-2</v>
          </cell>
          <cell r="D504">
            <v>0.56999999999999995</v>
          </cell>
          <cell r="E504">
            <v>0.1045</v>
          </cell>
          <cell r="F504">
            <v>2</v>
          </cell>
          <cell r="G504">
            <v>20</v>
          </cell>
          <cell r="H504">
            <v>22</v>
          </cell>
        </row>
        <row r="505">
          <cell r="A505">
            <v>504</v>
          </cell>
          <cell r="B505">
            <v>503</v>
          </cell>
          <cell r="C505">
            <v>7.5800000000000006E-2</v>
          </cell>
          <cell r="D505">
            <v>0.56999999999999995</v>
          </cell>
          <cell r="E505">
            <v>0.1045</v>
          </cell>
          <cell r="F505">
            <v>1</v>
          </cell>
          <cell r="G505">
            <v>12</v>
          </cell>
          <cell r="H505">
            <v>13</v>
          </cell>
        </row>
        <row r="506">
          <cell r="A506">
            <v>505</v>
          </cell>
          <cell r="B506">
            <v>504</v>
          </cell>
          <cell r="C506">
            <v>6.0600000000000001E-2</v>
          </cell>
          <cell r="D506">
            <v>0.62</v>
          </cell>
          <cell r="E506">
            <v>0.1343</v>
          </cell>
          <cell r="F506">
            <v>3</v>
          </cell>
          <cell r="G506">
            <v>15</v>
          </cell>
          <cell r="H506">
            <v>18</v>
          </cell>
        </row>
        <row r="507">
          <cell r="A507">
            <v>506</v>
          </cell>
          <cell r="B507">
            <v>505</v>
          </cell>
          <cell r="C507">
            <v>6.0600000000000001E-2</v>
          </cell>
          <cell r="D507">
            <v>0.62</v>
          </cell>
          <cell r="E507">
            <v>0.1343</v>
          </cell>
          <cell r="F507">
            <v>1</v>
          </cell>
          <cell r="G507">
            <v>4</v>
          </cell>
          <cell r="H507">
            <v>5</v>
          </cell>
        </row>
        <row r="508">
          <cell r="A508">
            <v>507</v>
          </cell>
          <cell r="B508">
            <v>506</v>
          </cell>
          <cell r="C508">
            <v>7.5800000000000006E-2</v>
          </cell>
          <cell r="D508">
            <v>0.56999999999999995</v>
          </cell>
          <cell r="E508">
            <v>0.1045</v>
          </cell>
          <cell r="F508">
            <v>0</v>
          </cell>
          <cell r="G508">
            <v>3</v>
          </cell>
          <cell r="H508">
            <v>3</v>
          </cell>
        </row>
        <row r="509">
          <cell r="A509">
            <v>508</v>
          </cell>
          <cell r="B509">
            <v>507</v>
          </cell>
          <cell r="C509">
            <v>7.5800000000000006E-2</v>
          </cell>
          <cell r="D509">
            <v>0.56999999999999995</v>
          </cell>
          <cell r="E509">
            <v>0.1045</v>
          </cell>
          <cell r="F509">
            <v>0</v>
          </cell>
          <cell r="G509">
            <v>1</v>
          </cell>
          <cell r="H509">
            <v>1</v>
          </cell>
        </row>
        <row r="510">
          <cell r="A510">
            <v>509</v>
          </cell>
          <cell r="B510">
            <v>508</v>
          </cell>
          <cell r="C510">
            <v>0.1061</v>
          </cell>
          <cell r="D510">
            <v>0.57999999999999996</v>
          </cell>
          <cell r="E510">
            <v>0.16420000000000001</v>
          </cell>
          <cell r="F510">
            <v>1</v>
          </cell>
          <cell r="G510">
            <v>1</v>
          </cell>
          <cell r="H510">
            <v>2</v>
          </cell>
        </row>
        <row r="511">
          <cell r="A511">
            <v>510</v>
          </cell>
          <cell r="B511">
            <v>509</v>
          </cell>
          <cell r="C511">
            <v>7.5800000000000006E-2</v>
          </cell>
          <cell r="D511">
            <v>0.62</v>
          </cell>
          <cell r="E511">
            <v>0.16420000000000001</v>
          </cell>
          <cell r="F511">
            <v>2</v>
          </cell>
          <cell r="G511">
            <v>17</v>
          </cell>
          <cell r="H511">
            <v>19</v>
          </cell>
        </row>
        <row r="512">
          <cell r="A512">
            <v>511</v>
          </cell>
          <cell r="B512">
            <v>510</v>
          </cell>
          <cell r="C512">
            <v>7.5800000000000006E-2</v>
          </cell>
          <cell r="D512">
            <v>0.54</v>
          </cell>
          <cell r="E512">
            <v>0.35820000000000002</v>
          </cell>
          <cell r="F512">
            <v>3</v>
          </cell>
          <cell r="G512">
            <v>25</v>
          </cell>
          <cell r="H512">
            <v>28</v>
          </cell>
        </row>
        <row r="513">
          <cell r="A513">
            <v>512</v>
          </cell>
          <cell r="B513">
            <v>511</v>
          </cell>
          <cell r="C513">
            <v>0.1061</v>
          </cell>
          <cell r="D513">
            <v>0.46</v>
          </cell>
          <cell r="E513">
            <v>0.3881</v>
          </cell>
          <cell r="F513">
            <v>7</v>
          </cell>
          <cell r="G513">
            <v>51</v>
          </cell>
          <cell r="H513">
            <v>58</v>
          </cell>
        </row>
        <row r="514">
          <cell r="A514">
            <v>513</v>
          </cell>
          <cell r="B514">
            <v>512</v>
          </cell>
          <cell r="C514">
            <v>0.13639999999999999</v>
          </cell>
          <cell r="D514">
            <v>0.43</v>
          </cell>
          <cell r="E514">
            <v>0.22389999999999999</v>
          </cell>
          <cell r="F514">
            <v>22</v>
          </cell>
          <cell r="G514">
            <v>77</v>
          </cell>
          <cell r="H514">
            <v>99</v>
          </cell>
        </row>
        <row r="515">
          <cell r="A515">
            <v>514</v>
          </cell>
          <cell r="B515">
            <v>513</v>
          </cell>
          <cell r="C515">
            <v>0.1212</v>
          </cell>
          <cell r="D515">
            <v>0.37</v>
          </cell>
          <cell r="E515">
            <v>0.4627</v>
          </cell>
          <cell r="F515">
            <v>24</v>
          </cell>
          <cell r="G515">
            <v>92</v>
          </cell>
          <cell r="H515">
            <v>116</v>
          </cell>
        </row>
        <row r="516">
          <cell r="A516">
            <v>515</v>
          </cell>
          <cell r="B516">
            <v>514</v>
          </cell>
          <cell r="C516">
            <v>0.1061</v>
          </cell>
          <cell r="D516">
            <v>0.33</v>
          </cell>
          <cell r="E516">
            <v>0.3881</v>
          </cell>
          <cell r="F516">
            <v>12</v>
          </cell>
          <cell r="G516">
            <v>75</v>
          </cell>
          <cell r="H516">
            <v>87</v>
          </cell>
        </row>
        <row r="517">
          <cell r="A517">
            <v>516</v>
          </cell>
          <cell r="B517">
            <v>515</v>
          </cell>
          <cell r="C517">
            <v>0.13639999999999999</v>
          </cell>
          <cell r="D517">
            <v>0.28000000000000003</v>
          </cell>
          <cell r="E517">
            <v>0.35820000000000002</v>
          </cell>
          <cell r="F517">
            <v>17</v>
          </cell>
          <cell r="G517">
            <v>93</v>
          </cell>
          <cell r="H517">
            <v>110</v>
          </cell>
        </row>
        <row r="518">
          <cell r="A518">
            <v>517</v>
          </cell>
          <cell r="B518">
            <v>516</v>
          </cell>
          <cell r="C518">
            <v>0.13639999999999999</v>
          </cell>
          <cell r="D518">
            <v>0.28000000000000003</v>
          </cell>
          <cell r="E518">
            <v>0.35820000000000002</v>
          </cell>
          <cell r="F518">
            <v>13</v>
          </cell>
          <cell r="G518">
            <v>64</v>
          </cell>
          <cell r="H518">
            <v>77</v>
          </cell>
        </row>
        <row r="519">
          <cell r="A519">
            <v>518</v>
          </cell>
          <cell r="B519">
            <v>517</v>
          </cell>
          <cell r="C519">
            <v>0.13639999999999999</v>
          </cell>
          <cell r="D519">
            <v>0.26</v>
          </cell>
          <cell r="E519">
            <v>0.32840000000000003</v>
          </cell>
          <cell r="F519">
            <v>9</v>
          </cell>
          <cell r="G519">
            <v>56</v>
          </cell>
          <cell r="H519">
            <v>65</v>
          </cell>
        </row>
        <row r="520">
          <cell r="A520">
            <v>519</v>
          </cell>
          <cell r="B520">
            <v>518</v>
          </cell>
          <cell r="C520">
            <v>0.1061</v>
          </cell>
          <cell r="D520">
            <v>0.26</v>
          </cell>
          <cell r="E520">
            <v>0.3881</v>
          </cell>
          <cell r="F520">
            <v>5</v>
          </cell>
          <cell r="G520">
            <v>50</v>
          </cell>
          <cell r="H520">
            <v>55</v>
          </cell>
        </row>
        <row r="521">
          <cell r="A521">
            <v>520</v>
          </cell>
          <cell r="B521">
            <v>519</v>
          </cell>
          <cell r="C521">
            <v>0.1212</v>
          </cell>
          <cell r="D521">
            <v>0.3</v>
          </cell>
          <cell r="E521">
            <v>0.25369999999999998</v>
          </cell>
          <cell r="F521">
            <v>5</v>
          </cell>
          <cell r="G521">
            <v>44</v>
          </cell>
          <cell r="H521">
            <v>49</v>
          </cell>
        </row>
        <row r="522">
          <cell r="A522">
            <v>521</v>
          </cell>
          <cell r="B522">
            <v>520</v>
          </cell>
          <cell r="C522">
            <v>0.1212</v>
          </cell>
          <cell r="D522">
            <v>0.3</v>
          </cell>
          <cell r="E522">
            <v>0.28360000000000002</v>
          </cell>
          <cell r="F522">
            <v>5</v>
          </cell>
          <cell r="G522">
            <v>45</v>
          </cell>
          <cell r="H522">
            <v>50</v>
          </cell>
        </row>
        <row r="523">
          <cell r="A523">
            <v>522</v>
          </cell>
          <cell r="B523">
            <v>521</v>
          </cell>
          <cell r="C523">
            <v>0.1061</v>
          </cell>
          <cell r="D523">
            <v>0.36</v>
          </cell>
          <cell r="E523">
            <v>0.25369999999999998</v>
          </cell>
          <cell r="F523">
            <v>4</v>
          </cell>
          <cell r="G523">
            <v>31</v>
          </cell>
          <cell r="H523">
            <v>35</v>
          </cell>
        </row>
        <row r="524">
          <cell r="A524">
            <v>523</v>
          </cell>
          <cell r="B524">
            <v>522</v>
          </cell>
          <cell r="C524">
            <v>0.1061</v>
          </cell>
          <cell r="D524">
            <v>0.36</v>
          </cell>
          <cell r="E524">
            <v>0.19400000000000001</v>
          </cell>
          <cell r="F524">
            <v>5</v>
          </cell>
          <cell r="G524">
            <v>20</v>
          </cell>
          <cell r="H524">
            <v>25</v>
          </cell>
        </row>
        <row r="525">
          <cell r="A525">
            <v>524</v>
          </cell>
          <cell r="B525">
            <v>523</v>
          </cell>
          <cell r="C525">
            <v>9.0899999999999995E-2</v>
          </cell>
          <cell r="D525">
            <v>0.38</v>
          </cell>
          <cell r="E525">
            <v>0.19400000000000001</v>
          </cell>
          <cell r="F525">
            <v>5</v>
          </cell>
          <cell r="G525">
            <v>23</v>
          </cell>
          <cell r="H525">
            <v>28</v>
          </cell>
        </row>
        <row r="526">
          <cell r="A526">
            <v>525</v>
          </cell>
          <cell r="B526">
            <v>524</v>
          </cell>
          <cell r="C526">
            <v>6.0600000000000001E-2</v>
          </cell>
          <cell r="D526">
            <v>0.41</v>
          </cell>
          <cell r="E526">
            <v>0.22389999999999999</v>
          </cell>
          <cell r="F526">
            <v>4</v>
          </cell>
          <cell r="G526">
            <v>17</v>
          </cell>
          <cell r="H526">
            <v>21</v>
          </cell>
        </row>
        <row r="527">
          <cell r="A527">
            <v>526</v>
          </cell>
          <cell r="B527">
            <v>525</v>
          </cell>
          <cell r="C527">
            <v>6.0600000000000001E-2</v>
          </cell>
          <cell r="D527">
            <v>0.41</v>
          </cell>
          <cell r="E527">
            <v>0.19400000000000001</v>
          </cell>
          <cell r="F527">
            <v>0</v>
          </cell>
          <cell r="G527">
            <v>7</v>
          </cell>
          <cell r="H527">
            <v>7</v>
          </cell>
        </row>
        <row r="528">
          <cell r="A528">
            <v>527</v>
          </cell>
          <cell r="B528">
            <v>526</v>
          </cell>
          <cell r="C528">
            <v>4.5499999999999999E-2</v>
          </cell>
          <cell r="D528">
            <v>0.45</v>
          </cell>
          <cell r="E528">
            <v>0.19400000000000001</v>
          </cell>
          <cell r="F528">
            <v>0</v>
          </cell>
          <cell r="G528">
            <v>1</v>
          </cell>
          <cell r="H528">
            <v>1</v>
          </cell>
        </row>
        <row r="529">
          <cell r="A529">
            <v>528</v>
          </cell>
          <cell r="B529">
            <v>527</v>
          </cell>
          <cell r="C529">
            <v>3.0300000000000001E-2</v>
          </cell>
          <cell r="D529">
            <v>0.45</v>
          </cell>
          <cell r="E529">
            <v>0.25369999999999998</v>
          </cell>
          <cell r="F529">
            <v>0</v>
          </cell>
          <cell r="G529">
            <v>1</v>
          </cell>
          <cell r="H529">
            <v>1</v>
          </cell>
        </row>
        <row r="530">
          <cell r="A530">
            <v>529</v>
          </cell>
          <cell r="B530">
            <v>528</v>
          </cell>
          <cell r="C530">
            <v>6.0600000000000001E-2</v>
          </cell>
          <cell r="D530">
            <v>0.48</v>
          </cell>
          <cell r="E530">
            <v>0.1343</v>
          </cell>
          <cell r="F530">
            <v>0</v>
          </cell>
          <cell r="G530">
            <v>1</v>
          </cell>
          <cell r="H530">
            <v>1</v>
          </cell>
        </row>
        <row r="531">
          <cell r="A531">
            <v>530</v>
          </cell>
          <cell r="B531">
            <v>529</v>
          </cell>
          <cell r="C531">
            <v>6.0600000000000001E-2</v>
          </cell>
          <cell r="D531">
            <v>0.48</v>
          </cell>
          <cell r="E531">
            <v>0.1343</v>
          </cell>
          <cell r="F531">
            <v>0</v>
          </cell>
          <cell r="G531">
            <v>5</v>
          </cell>
          <cell r="H531">
            <v>5</v>
          </cell>
        </row>
        <row r="532">
          <cell r="A532">
            <v>531</v>
          </cell>
          <cell r="B532">
            <v>530</v>
          </cell>
          <cell r="C532">
            <v>7.5800000000000006E-2</v>
          </cell>
          <cell r="D532">
            <v>0.48</v>
          </cell>
          <cell r="E532">
            <v>8.9599999999999999E-2</v>
          </cell>
          <cell r="F532">
            <v>0</v>
          </cell>
          <cell r="G532">
            <v>15</v>
          </cell>
          <cell r="H532">
            <v>15</v>
          </cell>
        </row>
        <row r="533">
          <cell r="A533">
            <v>532</v>
          </cell>
          <cell r="B533">
            <v>531</v>
          </cell>
          <cell r="C533">
            <v>0.1212</v>
          </cell>
          <cell r="D533">
            <v>0.48</v>
          </cell>
          <cell r="E533">
            <v>0</v>
          </cell>
          <cell r="F533">
            <v>5</v>
          </cell>
          <cell r="G533">
            <v>79</v>
          </cell>
          <cell r="H533">
            <v>84</v>
          </cell>
        </row>
        <row r="534">
          <cell r="A534">
            <v>533</v>
          </cell>
          <cell r="B534">
            <v>532</v>
          </cell>
          <cell r="C534">
            <v>0.13639999999999999</v>
          </cell>
          <cell r="D534">
            <v>0.49</v>
          </cell>
          <cell r="E534">
            <v>0</v>
          </cell>
          <cell r="F534">
            <v>6</v>
          </cell>
          <cell r="G534">
            <v>171</v>
          </cell>
          <cell r="H534">
            <v>177</v>
          </cell>
        </row>
        <row r="535">
          <cell r="A535">
            <v>534</v>
          </cell>
          <cell r="B535">
            <v>533</v>
          </cell>
          <cell r="C535">
            <v>0.1515</v>
          </cell>
          <cell r="D535">
            <v>0.41</v>
          </cell>
          <cell r="E535">
            <v>0</v>
          </cell>
          <cell r="F535">
            <v>4</v>
          </cell>
          <cell r="G535">
            <v>98</v>
          </cell>
          <cell r="H535">
            <v>102</v>
          </cell>
        </row>
        <row r="536">
          <cell r="A536">
            <v>535</v>
          </cell>
          <cell r="B536">
            <v>534</v>
          </cell>
          <cell r="C536">
            <v>0.13639999999999999</v>
          </cell>
          <cell r="D536">
            <v>0.42</v>
          </cell>
          <cell r="E536">
            <v>0</v>
          </cell>
          <cell r="F536">
            <v>6</v>
          </cell>
          <cell r="G536">
            <v>34</v>
          </cell>
          <cell r="H536">
            <v>40</v>
          </cell>
        </row>
        <row r="537">
          <cell r="A537">
            <v>536</v>
          </cell>
          <cell r="B537">
            <v>535</v>
          </cell>
          <cell r="C537">
            <v>0.1212</v>
          </cell>
          <cell r="D537">
            <v>0.46</v>
          </cell>
          <cell r="E537">
            <v>0.1343</v>
          </cell>
          <cell r="F537">
            <v>3</v>
          </cell>
          <cell r="G537">
            <v>43</v>
          </cell>
          <cell r="H537">
            <v>46</v>
          </cell>
        </row>
        <row r="538">
          <cell r="A538">
            <v>537</v>
          </cell>
          <cell r="B538">
            <v>536</v>
          </cell>
          <cell r="C538">
            <v>0.13639999999999999</v>
          </cell>
          <cell r="D538">
            <v>0.42</v>
          </cell>
          <cell r="E538">
            <v>0.19400000000000001</v>
          </cell>
          <cell r="F538">
            <v>11</v>
          </cell>
          <cell r="G538">
            <v>52</v>
          </cell>
          <cell r="H538">
            <v>63</v>
          </cell>
        </row>
        <row r="539">
          <cell r="A539">
            <v>538</v>
          </cell>
          <cell r="B539">
            <v>537</v>
          </cell>
          <cell r="C539">
            <v>0.13639999999999999</v>
          </cell>
          <cell r="D539">
            <v>0.43</v>
          </cell>
          <cell r="E539">
            <v>0.22389999999999999</v>
          </cell>
          <cell r="F539">
            <v>6</v>
          </cell>
          <cell r="G539">
            <v>54</v>
          </cell>
          <cell r="H539">
            <v>60</v>
          </cell>
        </row>
        <row r="540">
          <cell r="A540">
            <v>539</v>
          </cell>
          <cell r="B540">
            <v>538</v>
          </cell>
          <cell r="C540">
            <v>0.13639999999999999</v>
          </cell>
          <cell r="D540">
            <v>0.46</v>
          </cell>
          <cell r="E540">
            <v>0.22389999999999999</v>
          </cell>
          <cell r="F540">
            <v>2</v>
          </cell>
          <cell r="G540">
            <v>43</v>
          </cell>
          <cell r="H540">
            <v>45</v>
          </cell>
        </row>
        <row r="541">
          <cell r="A541">
            <v>540</v>
          </cell>
          <cell r="B541">
            <v>539</v>
          </cell>
          <cell r="C541">
            <v>0.16669999999999999</v>
          </cell>
          <cell r="D541">
            <v>0.4</v>
          </cell>
          <cell r="E541">
            <v>0.16420000000000001</v>
          </cell>
          <cell r="F541">
            <v>7</v>
          </cell>
          <cell r="G541">
            <v>50</v>
          </cell>
          <cell r="H541">
            <v>57</v>
          </cell>
        </row>
        <row r="542">
          <cell r="A542">
            <v>541</v>
          </cell>
          <cell r="B542">
            <v>540</v>
          </cell>
          <cell r="C542">
            <v>0.1515</v>
          </cell>
          <cell r="D542">
            <v>0.47</v>
          </cell>
          <cell r="E542">
            <v>0.25369999999999998</v>
          </cell>
          <cell r="F542">
            <v>4</v>
          </cell>
          <cell r="G542">
            <v>66</v>
          </cell>
          <cell r="H542">
            <v>70</v>
          </cell>
        </row>
        <row r="543">
          <cell r="A543">
            <v>542</v>
          </cell>
          <cell r="B543">
            <v>541</v>
          </cell>
          <cell r="C543">
            <v>0.1212</v>
          </cell>
          <cell r="D543">
            <v>0.5</v>
          </cell>
          <cell r="E543">
            <v>0.25369999999999998</v>
          </cell>
          <cell r="F543">
            <v>6</v>
          </cell>
          <cell r="G543">
            <v>178</v>
          </cell>
          <cell r="H543">
            <v>184</v>
          </cell>
        </row>
        <row r="544">
          <cell r="A544">
            <v>543</v>
          </cell>
          <cell r="B544">
            <v>542</v>
          </cell>
          <cell r="C544">
            <v>0.13639999999999999</v>
          </cell>
          <cell r="D544">
            <v>0.59</v>
          </cell>
          <cell r="E544">
            <v>0.19400000000000001</v>
          </cell>
          <cell r="F544">
            <v>8</v>
          </cell>
          <cell r="G544">
            <v>145</v>
          </cell>
          <cell r="H544">
            <v>153</v>
          </cell>
        </row>
        <row r="545">
          <cell r="A545">
            <v>544</v>
          </cell>
          <cell r="B545">
            <v>543</v>
          </cell>
          <cell r="C545">
            <v>0.1515</v>
          </cell>
          <cell r="D545">
            <v>0.54</v>
          </cell>
          <cell r="E545">
            <v>0.16420000000000001</v>
          </cell>
          <cell r="F545">
            <v>5</v>
          </cell>
          <cell r="G545">
            <v>101</v>
          </cell>
          <cell r="H545">
            <v>106</v>
          </cell>
        </row>
        <row r="546">
          <cell r="A546">
            <v>545</v>
          </cell>
          <cell r="B546">
            <v>544</v>
          </cell>
          <cell r="C546">
            <v>0.13639999999999999</v>
          </cell>
          <cell r="D546">
            <v>0.59</v>
          </cell>
          <cell r="E546">
            <v>0.19400000000000001</v>
          </cell>
          <cell r="F546">
            <v>1</v>
          </cell>
          <cell r="G546">
            <v>80</v>
          </cell>
          <cell r="H546">
            <v>81</v>
          </cell>
        </row>
        <row r="547">
          <cell r="A547">
            <v>546</v>
          </cell>
          <cell r="B547">
            <v>545</v>
          </cell>
          <cell r="C547">
            <v>0.1515</v>
          </cell>
          <cell r="D547">
            <v>0.63</v>
          </cell>
          <cell r="E547">
            <v>0.16420000000000001</v>
          </cell>
          <cell r="F547">
            <v>6</v>
          </cell>
          <cell r="G547">
            <v>53</v>
          </cell>
          <cell r="H547">
            <v>59</v>
          </cell>
        </row>
        <row r="548">
          <cell r="A548">
            <v>547</v>
          </cell>
          <cell r="B548">
            <v>546</v>
          </cell>
          <cell r="C548">
            <v>0.13639999999999999</v>
          </cell>
          <cell r="D548">
            <v>0.63</v>
          </cell>
          <cell r="E548">
            <v>0.22389999999999999</v>
          </cell>
          <cell r="F548">
            <v>3</v>
          </cell>
          <cell r="G548">
            <v>32</v>
          </cell>
          <cell r="H548">
            <v>35</v>
          </cell>
        </row>
        <row r="549">
          <cell r="A549">
            <v>548</v>
          </cell>
          <cell r="B549">
            <v>547</v>
          </cell>
          <cell r="C549">
            <v>0.1515</v>
          </cell>
          <cell r="D549">
            <v>0.64</v>
          </cell>
          <cell r="E549">
            <v>0.25369999999999998</v>
          </cell>
          <cell r="F549">
            <v>3</v>
          </cell>
          <cell r="G549">
            <v>21</v>
          </cell>
          <cell r="H549">
            <v>24</v>
          </cell>
        </row>
        <row r="550">
          <cell r="A550">
            <v>549</v>
          </cell>
          <cell r="B550">
            <v>548</v>
          </cell>
          <cell r="C550">
            <v>0.13639999999999999</v>
          </cell>
          <cell r="D550">
            <v>0.69</v>
          </cell>
          <cell r="E550">
            <v>0.28360000000000002</v>
          </cell>
          <cell r="F550">
            <v>3</v>
          </cell>
          <cell r="G550">
            <v>6</v>
          </cell>
          <cell r="H550">
            <v>9</v>
          </cell>
        </row>
        <row r="551">
          <cell r="A551">
            <v>550</v>
          </cell>
          <cell r="B551">
            <v>549</v>
          </cell>
          <cell r="C551">
            <v>0.16669999999999999</v>
          </cell>
          <cell r="D551">
            <v>0.69</v>
          </cell>
          <cell r="E551">
            <v>0.16420000000000001</v>
          </cell>
          <cell r="F551">
            <v>0</v>
          </cell>
          <cell r="G551">
            <v>5</v>
          </cell>
          <cell r="H551">
            <v>5</v>
          </cell>
        </row>
        <row r="552">
          <cell r="A552">
            <v>551</v>
          </cell>
          <cell r="B552">
            <v>550</v>
          </cell>
          <cell r="C552">
            <v>0.1515</v>
          </cell>
          <cell r="D552">
            <v>0.69</v>
          </cell>
          <cell r="E552">
            <v>0.22389999999999999</v>
          </cell>
          <cell r="F552">
            <v>0</v>
          </cell>
          <cell r="G552">
            <v>2</v>
          </cell>
          <cell r="H552">
            <v>2</v>
          </cell>
        </row>
        <row r="553">
          <cell r="A553">
            <v>552</v>
          </cell>
          <cell r="B553">
            <v>551</v>
          </cell>
          <cell r="C553">
            <v>0.16669999999999999</v>
          </cell>
          <cell r="D553">
            <v>0.74</v>
          </cell>
          <cell r="E553">
            <v>0.1045</v>
          </cell>
          <cell r="F553">
            <v>0</v>
          </cell>
          <cell r="G553">
            <v>1</v>
          </cell>
          <cell r="H553">
            <v>1</v>
          </cell>
        </row>
        <row r="554">
          <cell r="A554">
            <v>553</v>
          </cell>
          <cell r="B554">
            <v>552</v>
          </cell>
          <cell r="C554">
            <v>0.13639999999999999</v>
          </cell>
          <cell r="D554">
            <v>0.74</v>
          </cell>
          <cell r="E554">
            <v>0.22389999999999999</v>
          </cell>
          <cell r="F554">
            <v>0</v>
          </cell>
          <cell r="G554">
            <v>9</v>
          </cell>
          <cell r="H554">
            <v>9</v>
          </cell>
        </row>
        <row r="555">
          <cell r="A555">
            <v>554</v>
          </cell>
          <cell r="B555">
            <v>553</v>
          </cell>
          <cell r="C555">
            <v>0.18179999999999999</v>
          </cell>
          <cell r="D555">
            <v>0.74</v>
          </cell>
          <cell r="E555">
            <v>0.1045</v>
          </cell>
          <cell r="F555">
            <v>1</v>
          </cell>
          <cell r="G555">
            <v>35</v>
          </cell>
          <cell r="H555">
            <v>36</v>
          </cell>
        </row>
        <row r="556">
          <cell r="A556">
            <v>555</v>
          </cell>
          <cell r="B556">
            <v>554</v>
          </cell>
          <cell r="C556">
            <v>0.1515</v>
          </cell>
          <cell r="D556">
            <v>0.74</v>
          </cell>
          <cell r="E556">
            <v>0.22389999999999999</v>
          </cell>
          <cell r="F556">
            <v>5</v>
          </cell>
          <cell r="G556">
            <v>103</v>
          </cell>
          <cell r="H556">
            <v>108</v>
          </cell>
        </row>
        <row r="557">
          <cell r="A557">
            <v>556</v>
          </cell>
          <cell r="B557">
            <v>555</v>
          </cell>
          <cell r="C557">
            <v>0.18179999999999999</v>
          </cell>
          <cell r="D557">
            <v>0.74</v>
          </cell>
          <cell r="E557">
            <v>0.1343</v>
          </cell>
          <cell r="F557">
            <v>5</v>
          </cell>
          <cell r="G557">
            <v>233</v>
          </cell>
          <cell r="H557">
            <v>238</v>
          </cell>
        </row>
        <row r="558">
          <cell r="A558">
            <v>557</v>
          </cell>
          <cell r="B558">
            <v>556</v>
          </cell>
          <cell r="C558">
            <v>0.2273</v>
          </cell>
          <cell r="D558">
            <v>0.64</v>
          </cell>
          <cell r="E558">
            <v>8.9599999999999999E-2</v>
          </cell>
          <cell r="F558">
            <v>10</v>
          </cell>
          <cell r="G558">
            <v>134</v>
          </cell>
          <cell r="H558">
            <v>144</v>
          </cell>
        </row>
        <row r="559">
          <cell r="A559">
            <v>558</v>
          </cell>
          <cell r="B559">
            <v>557</v>
          </cell>
          <cell r="C559">
            <v>0.2424</v>
          </cell>
          <cell r="D559">
            <v>0.6</v>
          </cell>
          <cell r="E559">
            <v>0.1045</v>
          </cell>
          <cell r="F559">
            <v>6</v>
          </cell>
          <cell r="G559">
            <v>49</v>
          </cell>
          <cell r="H559">
            <v>55</v>
          </cell>
        </row>
        <row r="560">
          <cell r="A560">
            <v>559</v>
          </cell>
          <cell r="B560">
            <v>558</v>
          </cell>
          <cell r="C560">
            <v>0.2424</v>
          </cell>
          <cell r="D560">
            <v>0.6</v>
          </cell>
          <cell r="E560">
            <v>0.1343</v>
          </cell>
          <cell r="F560">
            <v>6</v>
          </cell>
          <cell r="G560">
            <v>55</v>
          </cell>
          <cell r="H560">
            <v>61</v>
          </cell>
        </row>
        <row r="561">
          <cell r="A561">
            <v>560</v>
          </cell>
          <cell r="B561">
            <v>559</v>
          </cell>
          <cell r="C561">
            <v>0.28789999999999999</v>
          </cell>
          <cell r="D561">
            <v>0.56000000000000005</v>
          </cell>
          <cell r="E561">
            <v>8.9599999999999999E-2</v>
          </cell>
          <cell r="F561">
            <v>21</v>
          </cell>
          <cell r="G561">
            <v>85</v>
          </cell>
          <cell r="H561">
            <v>106</v>
          </cell>
        </row>
        <row r="562">
          <cell r="A562">
            <v>561</v>
          </cell>
          <cell r="B562">
            <v>560</v>
          </cell>
          <cell r="C562">
            <v>0.2727</v>
          </cell>
          <cell r="D562">
            <v>0.56000000000000005</v>
          </cell>
          <cell r="E562">
            <v>0.1343</v>
          </cell>
          <cell r="F562">
            <v>21</v>
          </cell>
          <cell r="G562">
            <v>72</v>
          </cell>
          <cell r="H562">
            <v>93</v>
          </cell>
        </row>
        <row r="563">
          <cell r="A563">
            <v>562</v>
          </cell>
          <cell r="B563">
            <v>561</v>
          </cell>
          <cell r="C563">
            <v>0.33329999999999999</v>
          </cell>
          <cell r="D563">
            <v>0.45</v>
          </cell>
          <cell r="E563">
            <v>0</v>
          </cell>
          <cell r="F563">
            <v>11</v>
          </cell>
          <cell r="G563">
            <v>57</v>
          </cell>
          <cell r="H563">
            <v>68</v>
          </cell>
        </row>
        <row r="564">
          <cell r="A564">
            <v>563</v>
          </cell>
          <cell r="B564">
            <v>562</v>
          </cell>
          <cell r="C564">
            <v>0.34849999999999998</v>
          </cell>
          <cell r="D564">
            <v>0.42</v>
          </cell>
          <cell r="E564">
            <v>0</v>
          </cell>
          <cell r="F564">
            <v>21</v>
          </cell>
          <cell r="G564">
            <v>63</v>
          </cell>
          <cell r="H564">
            <v>84</v>
          </cell>
        </row>
        <row r="565">
          <cell r="A565">
            <v>564</v>
          </cell>
          <cell r="B565">
            <v>563</v>
          </cell>
          <cell r="C565">
            <v>0.34849999999999998</v>
          </cell>
          <cell r="D565">
            <v>0.42</v>
          </cell>
          <cell r="E565">
            <v>0</v>
          </cell>
          <cell r="F565">
            <v>14</v>
          </cell>
          <cell r="G565">
            <v>102</v>
          </cell>
          <cell r="H565">
            <v>116</v>
          </cell>
        </row>
        <row r="566">
          <cell r="A566">
            <v>565</v>
          </cell>
          <cell r="B566">
            <v>564</v>
          </cell>
          <cell r="C566">
            <v>0.33329999999999999</v>
          </cell>
          <cell r="D566">
            <v>0.45</v>
          </cell>
          <cell r="E566">
            <v>0</v>
          </cell>
          <cell r="F566">
            <v>14</v>
          </cell>
          <cell r="G566">
            <v>208</v>
          </cell>
          <cell r="H566">
            <v>222</v>
          </cell>
        </row>
        <row r="567">
          <cell r="A567">
            <v>566</v>
          </cell>
          <cell r="B567">
            <v>565</v>
          </cell>
          <cell r="C567">
            <v>0.31819999999999998</v>
          </cell>
          <cell r="D567">
            <v>0.49</v>
          </cell>
          <cell r="E567">
            <v>8.9599999999999999E-2</v>
          </cell>
          <cell r="F567">
            <v>7</v>
          </cell>
          <cell r="G567">
            <v>218</v>
          </cell>
          <cell r="H567">
            <v>225</v>
          </cell>
        </row>
        <row r="568">
          <cell r="A568">
            <v>567</v>
          </cell>
          <cell r="B568">
            <v>566</v>
          </cell>
          <cell r="C568">
            <v>0.2576</v>
          </cell>
          <cell r="D568">
            <v>0.65</v>
          </cell>
          <cell r="E568">
            <v>0.16420000000000001</v>
          </cell>
          <cell r="F568">
            <v>13</v>
          </cell>
          <cell r="G568">
            <v>133</v>
          </cell>
          <cell r="H568">
            <v>146</v>
          </cell>
        </row>
        <row r="569">
          <cell r="A569">
            <v>568</v>
          </cell>
          <cell r="B569">
            <v>567</v>
          </cell>
          <cell r="C569">
            <v>0.2273</v>
          </cell>
          <cell r="D569">
            <v>0.65</v>
          </cell>
          <cell r="E569">
            <v>0.19400000000000001</v>
          </cell>
          <cell r="F569">
            <v>16</v>
          </cell>
          <cell r="G569">
            <v>103</v>
          </cell>
          <cell r="H569">
            <v>119</v>
          </cell>
        </row>
        <row r="570">
          <cell r="A570">
            <v>569</v>
          </cell>
          <cell r="B570">
            <v>568</v>
          </cell>
          <cell r="C570">
            <v>0.2273</v>
          </cell>
          <cell r="D570">
            <v>0.65</v>
          </cell>
          <cell r="E570">
            <v>0.19400000000000001</v>
          </cell>
          <cell r="F570">
            <v>5</v>
          </cell>
          <cell r="G570">
            <v>40</v>
          </cell>
          <cell r="H570">
            <v>45</v>
          </cell>
        </row>
        <row r="571">
          <cell r="A571">
            <v>570</v>
          </cell>
          <cell r="B571">
            <v>569</v>
          </cell>
          <cell r="C571">
            <v>0.2273</v>
          </cell>
          <cell r="D571">
            <v>0.64</v>
          </cell>
          <cell r="E571">
            <v>0.16420000000000001</v>
          </cell>
          <cell r="F571">
            <v>4</v>
          </cell>
          <cell r="G571">
            <v>49</v>
          </cell>
          <cell r="H571">
            <v>53</v>
          </cell>
        </row>
        <row r="572">
          <cell r="A572">
            <v>571</v>
          </cell>
          <cell r="B572">
            <v>570</v>
          </cell>
          <cell r="C572">
            <v>0.2273</v>
          </cell>
          <cell r="D572">
            <v>0.64</v>
          </cell>
          <cell r="E572">
            <v>0.16420000000000001</v>
          </cell>
          <cell r="F572">
            <v>3</v>
          </cell>
          <cell r="G572">
            <v>37</v>
          </cell>
          <cell r="H572">
            <v>40</v>
          </cell>
        </row>
        <row r="573">
          <cell r="A573">
            <v>572</v>
          </cell>
          <cell r="B573">
            <v>571</v>
          </cell>
          <cell r="C573">
            <v>0.2273</v>
          </cell>
          <cell r="D573">
            <v>0.69</v>
          </cell>
          <cell r="E573">
            <v>0.1343</v>
          </cell>
          <cell r="F573">
            <v>3</v>
          </cell>
          <cell r="G573">
            <v>14</v>
          </cell>
          <cell r="H573">
            <v>17</v>
          </cell>
        </row>
        <row r="574">
          <cell r="A574">
            <v>573</v>
          </cell>
          <cell r="B574">
            <v>572</v>
          </cell>
          <cell r="C574">
            <v>0.2424</v>
          </cell>
          <cell r="D574">
            <v>0.65</v>
          </cell>
          <cell r="E574">
            <v>0.1343</v>
          </cell>
          <cell r="F574">
            <v>0</v>
          </cell>
          <cell r="G574">
            <v>5</v>
          </cell>
          <cell r="H574">
            <v>5</v>
          </cell>
        </row>
        <row r="575">
          <cell r="A575">
            <v>574</v>
          </cell>
          <cell r="B575">
            <v>573</v>
          </cell>
          <cell r="C575">
            <v>0.2273</v>
          </cell>
          <cell r="D575">
            <v>0.69</v>
          </cell>
          <cell r="E575">
            <v>0.19400000000000001</v>
          </cell>
          <cell r="F575">
            <v>3</v>
          </cell>
          <cell r="G575">
            <v>7</v>
          </cell>
          <cell r="H575">
            <v>10</v>
          </cell>
        </row>
        <row r="576">
          <cell r="A576">
            <v>575</v>
          </cell>
          <cell r="B576">
            <v>574</v>
          </cell>
          <cell r="C576">
            <v>0.18179999999999999</v>
          </cell>
          <cell r="D576">
            <v>0.86</v>
          </cell>
          <cell r="E576">
            <v>0.28360000000000002</v>
          </cell>
          <cell r="F576">
            <v>0</v>
          </cell>
          <cell r="G576">
            <v>1</v>
          </cell>
          <cell r="H576">
            <v>1</v>
          </cell>
        </row>
        <row r="577">
          <cell r="A577">
            <v>576</v>
          </cell>
          <cell r="B577">
            <v>575</v>
          </cell>
          <cell r="C577">
            <v>0.18179999999999999</v>
          </cell>
          <cell r="D577">
            <v>0.86</v>
          </cell>
          <cell r="E577">
            <v>0.28360000000000002</v>
          </cell>
          <cell r="F577">
            <v>0</v>
          </cell>
          <cell r="G577">
            <v>8</v>
          </cell>
          <cell r="H577">
            <v>8</v>
          </cell>
        </row>
        <row r="578">
          <cell r="A578">
            <v>577</v>
          </cell>
          <cell r="B578">
            <v>576</v>
          </cell>
          <cell r="C578">
            <v>0.21210000000000001</v>
          </cell>
          <cell r="D578">
            <v>0.87</v>
          </cell>
          <cell r="E578">
            <v>0.29849999999999999</v>
          </cell>
          <cell r="F578">
            <v>1</v>
          </cell>
          <cell r="G578">
            <v>29</v>
          </cell>
          <cell r="H578">
            <v>30</v>
          </cell>
        </row>
        <row r="579">
          <cell r="A579">
            <v>578</v>
          </cell>
          <cell r="B579">
            <v>577</v>
          </cell>
          <cell r="C579">
            <v>0.21210000000000001</v>
          </cell>
          <cell r="D579">
            <v>0.87</v>
          </cell>
          <cell r="E579">
            <v>0.29849999999999999</v>
          </cell>
          <cell r="F579">
            <v>3</v>
          </cell>
          <cell r="G579">
            <v>69</v>
          </cell>
          <cell r="H579">
            <v>72</v>
          </cell>
        </row>
        <row r="580">
          <cell r="A580">
            <v>579</v>
          </cell>
          <cell r="B580">
            <v>578</v>
          </cell>
          <cell r="C580">
            <v>0.21210000000000001</v>
          </cell>
          <cell r="D580">
            <v>0.87</v>
          </cell>
          <cell r="E580">
            <v>0.29849999999999999</v>
          </cell>
          <cell r="F580">
            <v>3</v>
          </cell>
          <cell r="G580">
            <v>55</v>
          </cell>
          <cell r="H580">
            <v>58</v>
          </cell>
        </row>
        <row r="581">
          <cell r="A581">
            <v>580</v>
          </cell>
          <cell r="B581">
            <v>579</v>
          </cell>
          <cell r="C581">
            <v>0.21210000000000001</v>
          </cell>
          <cell r="D581">
            <v>0.93</v>
          </cell>
          <cell r="E581">
            <v>0.28360000000000002</v>
          </cell>
          <cell r="F581">
            <v>2</v>
          </cell>
          <cell r="G581">
            <v>26</v>
          </cell>
          <cell r="H581">
            <v>28</v>
          </cell>
        </row>
        <row r="582">
          <cell r="A582">
            <v>581</v>
          </cell>
          <cell r="B582">
            <v>580</v>
          </cell>
          <cell r="C582">
            <v>0.19700000000000001</v>
          </cell>
          <cell r="D582">
            <v>0.93</v>
          </cell>
          <cell r="E582">
            <v>0.32840000000000003</v>
          </cell>
          <cell r="F582">
            <v>6</v>
          </cell>
          <cell r="G582">
            <v>35</v>
          </cell>
          <cell r="H582">
            <v>41</v>
          </cell>
        </row>
        <row r="583">
          <cell r="A583">
            <v>582</v>
          </cell>
          <cell r="B583">
            <v>581</v>
          </cell>
          <cell r="C583">
            <v>0.19700000000000001</v>
          </cell>
          <cell r="D583">
            <v>0.93</v>
          </cell>
          <cell r="E583">
            <v>0.32840000000000003</v>
          </cell>
          <cell r="F583">
            <v>7</v>
          </cell>
          <cell r="G583">
            <v>41</v>
          </cell>
          <cell r="H583">
            <v>48</v>
          </cell>
        </row>
        <row r="584">
          <cell r="A584">
            <v>583</v>
          </cell>
          <cell r="B584">
            <v>582</v>
          </cell>
          <cell r="C584">
            <v>0.19700000000000001</v>
          </cell>
          <cell r="D584">
            <v>0.93</v>
          </cell>
          <cell r="E584">
            <v>0.32840000000000003</v>
          </cell>
          <cell r="F584">
            <v>4</v>
          </cell>
          <cell r="G584">
            <v>43</v>
          </cell>
          <cell r="H584">
            <v>47</v>
          </cell>
        </row>
        <row r="585">
          <cell r="A585">
            <v>584</v>
          </cell>
          <cell r="B585">
            <v>583</v>
          </cell>
          <cell r="C585">
            <v>0.19700000000000001</v>
          </cell>
          <cell r="D585">
            <v>0.93</v>
          </cell>
          <cell r="E585">
            <v>0.35820000000000002</v>
          </cell>
          <cell r="F585">
            <v>0</v>
          </cell>
          <cell r="G585">
            <v>36</v>
          </cell>
          <cell r="H585">
            <v>36</v>
          </cell>
        </row>
        <row r="586">
          <cell r="A586">
            <v>585</v>
          </cell>
          <cell r="B586">
            <v>584</v>
          </cell>
          <cell r="C586">
            <v>0.18179999999999999</v>
          </cell>
          <cell r="D586">
            <v>0.93</v>
          </cell>
          <cell r="E586">
            <v>0.4627</v>
          </cell>
          <cell r="F586">
            <v>1</v>
          </cell>
          <cell r="G586">
            <v>42</v>
          </cell>
          <cell r="H586">
            <v>43</v>
          </cell>
        </row>
        <row r="587">
          <cell r="A587">
            <v>586</v>
          </cell>
          <cell r="B587">
            <v>585</v>
          </cell>
          <cell r="C587">
            <v>0.19700000000000001</v>
          </cell>
          <cell r="D587">
            <v>0.93</v>
          </cell>
          <cell r="E587">
            <v>0.32840000000000003</v>
          </cell>
          <cell r="F587">
            <v>1</v>
          </cell>
          <cell r="G587">
            <v>35</v>
          </cell>
          <cell r="H587">
            <v>36</v>
          </cell>
        </row>
        <row r="588">
          <cell r="A588">
            <v>587</v>
          </cell>
          <cell r="B588">
            <v>586</v>
          </cell>
          <cell r="C588">
            <v>0.18179999999999999</v>
          </cell>
          <cell r="D588">
            <v>0.93</v>
          </cell>
          <cell r="E588">
            <v>0.35820000000000002</v>
          </cell>
          <cell r="F588">
            <v>0</v>
          </cell>
          <cell r="G588">
            <v>26</v>
          </cell>
          <cell r="H588">
            <v>26</v>
          </cell>
        </row>
        <row r="589">
          <cell r="A589">
            <v>588</v>
          </cell>
          <cell r="B589">
            <v>587</v>
          </cell>
          <cell r="C589">
            <v>0.2273</v>
          </cell>
          <cell r="D589">
            <v>0.55000000000000004</v>
          </cell>
          <cell r="E589">
            <v>0.19400000000000001</v>
          </cell>
          <cell r="F589">
            <v>1</v>
          </cell>
          <cell r="G589">
            <v>23</v>
          </cell>
          <cell r="H589">
            <v>24</v>
          </cell>
        </row>
        <row r="590">
          <cell r="A590">
            <v>589</v>
          </cell>
          <cell r="B590">
            <v>588</v>
          </cell>
          <cell r="C590">
            <v>0.2424</v>
          </cell>
          <cell r="D590">
            <v>0.55000000000000004</v>
          </cell>
          <cell r="E590">
            <v>0.1045</v>
          </cell>
          <cell r="F590">
            <v>2</v>
          </cell>
          <cell r="G590">
            <v>82</v>
          </cell>
          <cell r="H590">
            <v>84</v>
          </cell>
        </row>
        <row r="591">
          <cell r="A591">
            <v>590</v>
          </cell>
          <cell r="B591">
            <v>589</v>
          </cell>
          <cell r="C591">
            <v>0.2273</v>
          </cell>
          <cell r="D591">
            <v>0.69</v>
          </cell>
          <cell r="E591">
            <v>8.9599999999999999E-2</v>
          </cell>
          <cell r="F591">
            <v>3</v>
          </cell>
          <cell r="G591">
            <v>101</v>
          </cell>
          <cell r="H591">
            <v>104</v>
          </cell>
        </row>
        <row r="592">
          <cell r="A592">
            <v>591</v>
          </cell>
          <cell r="B592">
            <v>590</v>
          </cell>
          <cell r="C592">
            <v>0.2273</v>
          </cell>
          <cell r="D592">
            <v>0.69</v>
          </cell>
          <cell r="E592">
            <v>8.9599999999999999E-2</v>
          </cell>
          <cell r="F592">
            <v>3</v>
          </cell>
          <cell r="G592">
            <v>76</v>
          </cell>
          <cell r="H592">
            <v>79</v>
          </cell>
        </row>
        <row r="593">
          <cell r="A593">
            <v>592</v>
          </cell>
          <cell r="B593">
            <v>591</v>
          </cell>
          <cell r="C593">
            <v>0.21210000000000001</v>
          </cell>
          <cell r="D593">
            <v>0.74</v>
          </cell>
          <cell r="E593">
            <v>8.9599999999999999E-2</v>
          </cell>
          <cell r="F593">
            <v>4</v>
          </cell>
          <cell r="G593">
            <v>55</v>
          </cell>
          <cell r="H593">
            <v>59</v>
          </cell>
        </row>
        <row r="594">
          <cell r="A594">
            <v>593</v>
          </cell>
          <cell r="B594">
            <v>592</v>
          </cell>
          <cell r="C594">
            <v>0.21210000000000001</v>
          </cell>
          <cell r="D594">
            <v>0.74</v>
          </cell>
          <cell r="E594">
            <v>8.9599999999999999E-2</v>
          </cell>
          <cell r="F594">
            <v>2</v>
          </cell>
          <cell r="G594">
            <v>36</v>
          </cell>
          <cell r="H594">
            <v>38</v>
          </cell>
        </row>
        <row r="595">
          <cell r="A595">
            <v>594</v>
          </cell>
          <cell r="B595">
            <v>593</v>
          </cell>
          <cell r="C595">
            <v>0.21210000000000001</v>
          </cell>
          <cell r="D595">
            <v>0.74</v>
          </cell>
          <cell r="E595">
            <v>8.9599999999999999E-2</v>
          </cell>
          <cell r="F595">
            <v>0</v>
          </cell>
          <cell r="G595">
            <v>27</v>
          </cell>
          <cell r="H595">
            <v>27</v>
          </cell>
        </row>
        <row r="596">
          <cell r="A596">
            <v>595</v>
          </cell>
          <cell r="B596">
            <v>594</v>
          </cell>
          <cell r="C596">
            <v>0.19700000000000001</v>
          </cell>
          <cell r="D596">
            <v>0.8</v>
          </cell>
          <cell r="E596">
            <v>0.16420000000000001</v>
          </cell>
          <cell r="F596">
            <v>0</v>
          </cell>
          <cell r="G596">
            <v>16</v>
          </cell>
          <cell r="H596">
            <v>16</v>
          </cell>
        </row>
        <row r="597">
          <cell r="A597">
            <v>596</v>
          </cell>
          <cell r="B597">
            <v>595</v>
          </cell>
          <cell r="C597">
            <v>0.21210000000000001</v>
          </cell>
          <cell r="D597">
            <v>0.75</v>
          </cell>
          <cell r="E597">
            <v>0.1343</v>
          </cell>
          <cell r="F597">
            <v>0</v>
          </cell>
          <cell r="G597">
            <v>9</v>
          </cell>
          <cell r="H597">
            <v>9</v>
          </cell>
        </row>
        <row r="598">
          <cell r="A598">
            <v>597</v>
          </cell>
          <cell r="B598">
            <v>596</v>
          </cell>
          <cell r="C598">
            <v>0.21210000000000001</v>
          </cell>
          <cell r="D598">
            <v>0.75</v>
          </cell>
          <cell r="E598">
            <v>0.1343</v>
          </cell>
          <cell r="F598">
            <v>1</v>
          </cell>
          <cell r="G598">
            <v>2</v>
          </cell>
          <cell r="H598">
            <v>3</v>
          </cell>
        </row>
        <row r="599">
          <cell r="A599">
            <v>598</v>
          </cell>
          <cell r="B599">
            <v>597</v>
          </cell>
          <cell r="C599">
            <v>0.21210000000000001</v>
          </cell>
          <cell r="D599">
            <v>0.75</v>
          </cell>
          <cell r="E599">
            <v>0.16420000000000001</v>
          </cell>
          <cell r="F599">
            <v>0</v>
          </cell>
          <cell r="G599">
            <v>2</v>
          </cell>
          <cell r="H599">
            <v>2</v>
          </cell>
        </row>
        <row r="600">
          <cell r="A600">
            <v>599</v>
          </cell>
          <cell r="B600">
            <v>598</v>
          </cell>
          <cell r="C600">
            <v>0.2273</v>
          </cell>
          <cell r="D600">
            <v>0.75</v>
          </cell>
          <cell r="E600">
            <v>0.1045</v>
          </cell>
          <cell r="F600">
            <v>1</v>
          </cell>
          <cell r="G600">
            <v>0</v>
          </cell>
          <cell r="H600">
            <v>1</v>
          </cell>
        </row>
        <row r="601">
          <cell r="A601">
            <v>600</v>
          </cell>
          <cell r="B601">
            <v>599</v>
          </cell>
          <cell r="C601">
            <v>0.21210000000000001</v>
          </cell>
          <cell r="D601">
            <v>0.8</v>
          </cell>
          <cell r="E601">
            <v>0.1045</v>
          </cell>
          <cell r="F601">
            <v>0</v>
          </cell>
          <cell r="G601">
            <v>4</v>
          </cell>
          <cell r="H601">
            <v>4</v>
          </cell>
        </row>
        <row r="602">
          <cell r="A602">
            <v>601</v>
          </cell>
          <cell r="B602">
            <v>600</v>
          </cell>
          <cell r="C602">
            <v>0.19700000000000001</v>
          </cell>
          <cell r="D602">
            <v>0.8</v>
          </cell>
          <cell r="E602">
            <v>0.1343</v>
          </cell>
          <cell r="F602">
            <v>0</v>
          </cell>
          <cell r="G602">
            <v>16</v>
          </cell>
          <cell r="H602">
            <v>16</v>
          </cell>
        </row>
        <row r="603">
          <cell r="A603">
            <v>602</v>
          </cell>
          <cell r="B603">
            <v>601</v>
          </cell>
          <cell r="C603">
            <v>0.19700000000000001</v>
          </cell>
          <cell r="D603">
            <v>0.86</v>
          </cell>
          <cell r="E603">
            <v>8.9599999999999999E-2</v>
          </cell>
          <cell r="F603">
            <v>2</v>
          </cell>
          <cell r="G603">
            <v>58</v>
          </cell>
          <cell r="H603">
            <v>60</v>
          </cell>
        </row>
        <row r="604">
          <cell r="A604">
            <v>603</v>
          </cell>
          <cell r="B604">
            <v>602</v>
          </cell>
          <cell r="C604">
            <v>0.19700000000000001</v>
          </cell>
          <cell r="D604">
            <v>0.86</v>
          </cell>
          <cell r="E604">
            <v>8.9599999999999999E-2</v>
          </cell>
          <cell r="F604">
            <v>2</v>
          </cell>
          <cell r="G604">
            <v>155</v>
          </cell>
          <cell r="H604">
            <v>157</v>
          </cell>
        </row>
        <row r="605">
          <cell r="A605">
            <v>604</v>
          </cell>
          <cell r="B605">
            <v>603</v>
          </cell>
          <cell r="C605">
            <v>0.21210000000000001</v>
          </cell>
          <cell r="D605">
            <v>0.86</v>
          </cell>
          <cell r="E605">
            <v>8.9599999999999999E-2</v>
          </cell>
          <cell r="F605">
            <v>6</v>
          </cell>
          <cell r="G605">
            <v>95</v>
          </cell>
          <cell r="H605">
            <v>101</v>
          </cell>
        </row>
        <row r="606">
          <cell r="A606">
            <v>605</v>
          </cell>
          <cell r="B606">
            <v>604</v>
          </cell>
          <cell r="C606">
            <v>0.21210000000000001</v>
          </cell>
          <cell r="D606">
            <v>0.86</v>
          </cell>
          <cell r="E606">
            <v>0.1045</v>
          </cell>
          <cell r="F606">
            <v>0</v>
          </cell>
          <cell r="G606">
            <v>49</v>
          </cell>
          <cell r="H606">
            <v>49</v>
          </cell>
        </row>
        <row r="607">
          <cell r="A607">
            <v>606</v>
          </cell>
          <cell r="B607">
            <v>605</v>
          </cell>
          <cell r="C607">
            <v>0.21210000000000001</v>
          </cell>
          <cell r="D607">
            <v>0.93</v>
          </cell>
          <cell r="E607">
            <v>0.1045</v>
          </cell>
          <cell r="F607">
            <v>0</v>
          </cell>
          <cell r="G607">
            <v>30</v>
          </cell>
          <cell r="H607">
            <v>30</v>
          </cell>
        </row>
        <row r="608">
          <cell r="A608">
            <v>607</v>
          </cell>
          <cell r="B608">
            <v>606</v>
          </cell>
          <cell r="C608">
            <v>0.21210000000000001</v>
          </cell>
          <cell r="D608">
            <v>0.93</v>
          </cell>
          <cell r="E608">
            <v>0.1045</v>
          </cell>
          <cell r="F608">
            <v>1</v>
          </cell>
          <cell r="G608">
            <v>28</v>
          </cell>
          <cell r="H608">
            <v>29</v>
          </cell>
        </row>
        <row r="609">
          <cell r="A609">
            <v>608</v>
          </cell>
          <cell r="B609">
            <v>607</v>
          </cell>
          <cell r="C609">
            <v>0.21210000000000001</v>
          </cell>
          <cell r="D609">
            <v>0.93</v>
          </cell>
          <cell r="E609">
            <v>0.1045</v>
          </cell>
          <cell r="F609">
            <v>0</v>
          </cell>
          <cell r="G609">
            <v>31</v>
          </cell>
          <cell r="H609">
            <v>31</v>
          </cell>
        </row>
        <row r="610">
          <cell r="A610">
            <v>609</v>
          </cell>
          <cell r="B610">
            <v>608</v>
          </cell>
          <cell r="C610">
            <v>0.2727</v>
          </cell>
          <cell r="D610">
            <v>0.8</v>
          </cell>
          <cell r="E610">
            <v>0</v>
          </cell>
          <cell r="F610">
            <v>2</v>
          </cell>
          <cell r="G610">
            <v>36</v>
          </cell>
          <cell r="H610">
            <v>38</v>
          </cell>
        </row>
        <row r="611">
          <cell r="A611">
            <v>610</v>
          </cell>
          <cell r="B611">
            <v>609</v>
          </cell>
          <cell r="C611">
            <v>0.2576</v>
          </cell>
          <cell r="D611">
            <v>0.86</v>
          </cell>
          <cell r="E611">
            <v>0</v>
          </cell>
          <cell r="F611">
            <v>1</v>
          </cell>
          <cell r="G611">
            <v>40</v>
          </cell>
          <cell r="H611">
            <v>41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SHARMA" refreshedDate="46105.730238773147" createdVersion="8" refreshedVersion="8" minRefreshableVersion="3" recordCount="610" xr:uid="{9A33066D-CB91-4B3C-BD69-F439EE985163}">
  <cacheSource type="worksheet">
    <worksheetSource ref="A1:O611" sheet="Datasheet A"/>
  </cacheSource>
  <cacheFields count="15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Unnamed: 0" numFmtId="0">
      <sharedItems containsSemiMixedTypes="0" containsString="0" containsNumber="1" containsInteger="1" minValue="0" maxValue="609"/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 count="3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</sharedItems>
    </cacheField>
    <cacheField name="Registered" numFmtId="0">
      <sharedItems containsSemiMixedTypes="0" containsString="0" containsNumber="1" containsInteger="1" minValue="0" maxValue="247" count="150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</sharedItems>
    </cacheField>
    <cacheField name="cnt" numFmtId="0">
      <sharedItems containsSemiMixedTypes="0" containsString="0" containsNumber="1" containsInteger="1" minValue="1" maxValue="249" count="165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SHARMA" refreshedDate="46105.884107638885" createdVersion="8" refreshedVersion="8" minRefreshableVersion="3" recordCount="611" xr:uid="{95CAE322-B4F1-4BED-AA3F-0AC2CF5228FB}">
  <cacheSource type="worksheet">
    <worksheetSource ref="A1:O1048576" sheet="Datasheet A"/>
  </cacheSource>
  <cacheFields count="15">
    <cacheField name="Instant" numFmtId="0">
      <sharedItems containsString="0" containsBlank="1" containsNumber="1" containsInteger="1" minValue="1" maxValue="610"/>
    </cacheField>
    <cacheField name="DteDay" numFmtId="0">
      <sharedItems containsNonDate="0" containsDate="1" containsString="0" containsBlank="1" minDate="2011-01-01T00:00:00" maxDate="2011-01-29T00:00:00"/>
    </cacheField>
    <cacheField name="Season" numFmtId="0">
      <sharedItems containsString="0" containsBlank="1" containsNumber="1" containsInteger="1" minValue="1" maxValue="1"/>
    </cacheField>
    <cacheField name="Hr" numFmtId="0">
      <sharedItems containsString="0" containsBlank="1" containsNumber="1" containsInteger="1" minValue="0" maxValue="23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 count="24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  <m/>
      </sharedItems>
    </cacheField>
    <cacheField name="Unnamed: 0" numFmtId="0">
      <sharedItems containsString="0" containsBlank="1" containsNumber="1" containsInteger="1" minValue="0" maxValue="609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 count="62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m/>
      </sharedItems>
    </cacheField>
    <cacheField name="Windspeed" numFmtId="0">
      <sharedItems containsString="0" containsBlank="1" containsNumber="1" minValue="0" maxValue="0.58209999999999995" count="21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  <m/>
      </sharedItems>
    </cacheField>
    <cacheField name="Casual" numFmtId="0">
      <sharedItems containsString="0" containsBlank="1" containsNumber="1" containsInteger="1" minValue="0" maxValue="47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1"/>
    <x v="0"/>
    <x v="0"/>
    <x v="0"/>
    <x v="0"/>
    <n v="0.24"/>
    <n v="0"/>
    <n v="0.28789999999999999"/>
    <n v="0.81"/>
    <x v="0"/>
    <x v="0"/>
    <x v="0"/>
    <x v="0"/>
  </r>
  <r>
    <n v="2"/>
    <x v="0"/>
    <n v="1"/>
    <x v="1"/>
    <x v="0"/>
    <x v="0"/>
    <x v="0"/>
    <n v="0.22"/>
    <n v="1"/>
    <n v="0.2727"/>
    <n v="0.8"/>
    <x v="0"/>
    <x v="1"/>
    <x v="1"/>
    <x v="1"/>
  </r>
  <r>
    <n v="3"/>
    <x v="0"/>
    <n v="1"/>
    <x v="2"/>
    <x v="0"/>
    <x v="0"/>
    <x v="0"/>
    <n v="0.22"/>
    <n v="2"/>
    <n v="0.2727"/>
    <n v="0.8"/>
    <x v="0"/>
    <x v="2"/>
    <x v="2"/>
    <x v="2"/>
  </r>
  <r>
    <n v="4"/>
    <x v="0"/>
    <n v="1"/>
    <x v="3"/>
    <x v="0"/>
    <x v="0"/>
    <x v="0"/>
    <n v="0.24"/>
    <n v="3"/>
    <n v="0.28789999999999999"/>
    <n v="0.75"/>
    <x v="0"/>
    <x v="0"/>
    <x v="3"/>
    <x v="3"/>
  </r>
  <r>
    <n v="5"/>
    <x v="0"/>
    <n v="1"/>
    <x v="4"/>
    <x v="0"/>
    <x v="0"/>
    <x v="0"/>
    <n v="0.24"/>
    <n v="4"/>
    <n v="0.28789999999999999"/>
    <n v="0.75"/>
    <x v="0"/>
    <x v="3"/>
    <x v="4"/>
    <x v="4"/>
  </r>
  <r>
    <n v="6"/>
    <x v="0"/>
    <n v="1"/>
    <x v="5"/>
    <x v="0"/>
    <x v="0"/>
    <x v="1"/>
    <n v="0.24"/>
    <n v="5"/>
    <n v="0.2576"/>
    <n v="0.75"/>
    <x v="1"/>
    <x v="3"/>
    <x v="4"/>
    <x v="4"/>
  </r>
  <r>
    <n v="7"/>
    <x v="0"/>
    <n v="1"/>
    <x v="6"/>
    <x v="0"/>
    <x v="0"/>
    <x v="0"/>
    <n v="0.22"/>
    <n v="6"/>
    <n v="0.2727"/>
    <n v="0.8"/>
    <x v="0"/>
    <x v="4"/>
    <x v="5"/>
    <x v="5"/>
  </r>
  <r>
    <n v="8"/>
    <x v="0"/>
    <n v="1"/>
    <x v="7"/>
    <x v="0"/>
    <x v="0"/>
    <x v="0"/>
    <n v="0.2"/>
    <n v="7"/>
    <n v="0.2576"/>
    <n v="0.86"/>
    <x v="0"/>
    <x v="5"/>
    <x v="6"/>
    <x v="6"/>
  </r>
  <r>
    <n v="9"/>
    <x v="0"/>
    <n v="1"/>
    <x v="8"/>
    <x v="0"/>
    <x v="0"/>
    <x v="0"/>
    <n v="0.24"/>
    <n v="8"/>
    <n v="0.19989999999999999"/>
    <n v="0.75"/>
    <x v="0"/>
    <x v="5"/>
    <x v="7"/>
    <x v="7"/>
  </r>
  <r>
    <n v="10"/>
    <x v="0"/>
    <n v="1"/>
    <x v="9"/>
    <x v="0"/>
    <x v="0"/>
    <x v="0"/>
    <n v="0.32"/>
    <n v="9"/>
    <n v="0.34849999999999998"/>
    <n v="0.76"/>
    <x v="0"/>
    <x v="1"/>
    <x v="8"/>
    <x v="8"/>
  </r>
  <r>
    <n v="11"/>
    <x v="0"/>
    <n v="1"/>
    <x v="10"/>
    <x v="0"/>
    <x v="0"/>
    <x v="0"/>
    <n v="0.38"/>
    <n v="10"/>
    <n v="0.39389999999999997"/>
    <n v="0.76"/>
    <x v="2"/>
    <x v="6"/>
    <x v="9"/>
    <x v="9"/>
  </r>
  <r>
    <n v="12"/>
    <x v="0"/>
    <n v="1"/>
    <x v="11"/>
    <x v="0"/>
    <x v="0"/>
    <x v="0"/>
    <n v="0.36"/>
    <n v="11"/>
    <n v="0.33329999999999999"/>
    <n v="0.81"/>
    <x v="3"/>
    <x v="7"/>
    <x v="10"/>
    <x v="10"/>
  </r>
  <r>
    <n v="13"/>
    <x v="0"/>
    <n v="1"/>
    <x v="12"/>
    <x v="0"/>
    <x v="0"/>
    <x v="0"/>
    <n v="0.42"/>
    <n v="12"/>
    <n v="0.42420000000000002"/>
    <n v="0.77"/>
    <x v="3"/>
    <x v="8"/>
    <x v="11"/>
    <x v="11"/>
  </r>
  <r>
    <n v="14"/>
    <x v="0"/>
    <n v="1"/>
    <x v="13"/>
    <x v="0"/>
    <x v="0"/>
    <x v="1"/>
    <n v="0.46"/>
    <n v="13"/>
    <n v="0.45450000000000002"/>
    <n v="0.72"/>
    <x v="4"/>
    <x v="9"/>
    <x v="12"/>
    <x v="12"/>
  </r>
  <r>
    <n v="15"/>
    <x v="0"/>
    <n v="1"/>
    <x v="14"/>
    <x v="0"/>
    <x v="0"/>
    <x v="1"/>
    <n v="0.46"/>
    <n v="14"/>
    <n v="0.45450000000000002"/>
    <n v="0.72"/>
    <x v="3"/>
    <x v="10"/>
    <x v="13"/>
    <x v="13"/>
  </r>
  <r>
    <n v="16"/>
    <x v="0"/>
    <n v="1"/>
    <x v="15"/>
    <x v="0"/>
    <x v="0"/>
    <x v="1"/>
    <n v="0.44"/>
    <n v="15"/>
    <n v="0.43940000000000001"/>
    <n v="0.77"/>
    <x v="4"/>
    <x v="11"/>
    <x v="14"/>
    <x v="14"/>
  </r>
  <r>
    <n v="17"/>
    <x v="0"/>
    <n v="1"/>
    <x v="16"/>
    <x v="0"/>
    <x v="0"/>
    <x v="1"/>
    <n v="0.42"/>
    <n v="16"/>
    <n v="0.42420000000000002"/>
    <n v="0.82"/>
    <x v="4"/>
    <x v="12"/>
    <x v="15"/>
    <x v="15"/>
  </r>
  <r>
    <n v="18"/>
    <x v="0"/>
    <n v="1"/>
    <x v="17"/>
    <x v="0"/>
    <x v="0"/>
    <x v="1"/>
    <n v="0.44"/>
    <n v="17"/>
    <n v="0.19989999999999999"/>
    <n v="0.82"/>
    <x v="3"/>
    <x v="13"/>
    <x v="15"/>
    <x v="16"/>
  </r>
  <r>
    <n v="19"/>
    <x v="0"/>
    <n v="1"/>
    <x v="18"/>
    <x v="0"/>
    <x v="0"/>
    <x v="2"/>
    <n v="0.42"/>
    <n v="18"/>
    <n v="0.42420000000000002"/>
    <n v="0.88"/>
    <x v="2"/>
    <x v="14"/>
    <x v="16"/>
    <x v="17"/>
  </r>
  <r>
    <n v="20"/>
    <x v="0"/>
    <n v="1"/>
    <x v="19"/>
    <x v="0"/>
    <x v="0"/>
    <x v="2"/>
    <n v="0.42"/>
    <n v="19"/>
    <n v="0.42420000000000002"/>
    <n v="0.88"/>
    <x v="2"/>
    <x v="15"/>
    <x v="17"/>
    <x v="18"/>
  </r>
  <r>
    <n v="21"/>
    <x v="0"/>
    <n v="1"/>
    <x v="20"/>
    <x v="0"/>
    <x v="0"/>
    <x v="1"/>
    <n v="0.4"/>
    <n v="20"/>
    <n v="0.40910000000000002"/>
    <n v="0.87"/>
    <x v="2"/>
    <x v="16"/>
    <x v="18"/>
    <x v="9"/>
  </r>
  <r>
    <n v="22"/>
    <x v="0"/>
    <n v="1"/>
    <x v="21"/>
    <x v="0"/>
    <x v="0"/>
    <x v="1"/>
    <n v="0.4"/>
    <n v="21"/>
    <n v="0.40910000000000002"/>
    <n v="0.87"/>
    <x v="5"/>
    <x v="0"/>
    <x v="17"/>
    <x v="19"/>
  </r>
  <r>
    <n v="23"/>
    <x v="0"/>
    <n v="1"/>
    <x v="22"/>
    <x v="0"/>
    <x v="0"/>
    <x v="1"/>
    <n v="0.4"/>
    <n v="22"/>
    <n v="0.40910000000000002"/>
    <n v="0.94"/>
    <x v="6"/>
    <x v="16"/>
    <x v="19"/>
    <x v="20"/>
  </r>
  <r>
    <n v="24"/>
    <x v="0"/>
    <n v="1"/>
    <x v="23"/>
    <x v="0"/>
    <x v="0"/>
    <x v="1"/>
    <n v="0.46"/>
    <n v="23"/>
    <n v="0.19989999999999999"/>
    <n v="0.88"/>
    <x v="4"/>
    <x v="13"/>
    <x v="9"/>
    <x v="21"/>
  </r>
  <r>
    <n v="25"/>
    <x v="1"/>
    <n v="1"/>
    <x v="0"/>
    <x v="0"/>
    <x v="1"/>
    <x v="1"/>
    <n v="0.46"/>
    <n v="24"/>
    <n v="0.45450000000000002"/>
    <n v="0.88"/>
    <x v="4"/>
    <x v="17"/>
    <x v="0"/>
    <x v="22"/>
  </r>
  <r>
    <n v="26"/>
    <x v="1"/>
    <n v="1"/>
    <x v="1"/>
    <x v="0"/>
    <x v="1"/>
    <x v="1"/>
    <n v="0.44"/>
    <n v="25"/>
    <n v="0.43940000000000001"/>
    <n v="0.94"/>
    <x v="2"/>
    <x v="5"/>
    <x v="20"/>
    <x v="22"/>
  </r>
  <r>
    <n v="27"/>
    <x v="1"/>
    <n v="1"/>
    <x v="2"/>
    <x v="0"/>
    <x v="1"/>
    <x v="1"/>
    <n v="0.42"/>
    <n v="26"/>
    <n v="0.42420000000000002"/>
    <n v="1"/>
    <x v="3"/>
    <x v="5"/>
    <x v="21"/>
    <x v="23"/>
  </r>
  <r>
    <n v="28"/>
    <x v="1"/>
    <n v="1"/>
    <x v="3"/>
    <x v="0"/>
    <x v="1"/>
    <x v="1"/>
    <n v="0.46"/>
    <n v="27"/>
    <n v="0.45450000000000002"/>
    <n v="0.94"/>
    <x v="5"/>
    <x v="4"/>
    <x v="22"/>
    <x v="24"/>
  </r>
  <r>
    <n v="29"/>
    <x v="1"/>
    <n v="1"/>
    <x v="4"/>
    <x v="0"/>
    <x v="1"/>
    <x v="1"/>
    <n v="0.46"/>
    <n v="28"/>
    <n v="0.19989999999999999"/>
    <n v="0.94"/>
    <x v="5"/>
    <x v="4"/>
    <x v="4"/>
    <x v="6"/>
  </r>
  <r>
    <n v="30"/>
    <x v="1"/>
    <n v="1"/>
    <x v="6"/>
    <x v="0"/>
    <x v="1"/>
    <x v="2"/>
    <n v="0.42"/>
    <n v="29"/>
    <n v="0.42420000000000002"/>
    <n v="0.77"/>
    <x v="4"/>
    <x v="3"/>
    <x v="6"/>
    <x v="5"/>
  </r>
  <r>
    <n v="31"/>
    <x v="1"/>
    <n v="1"/>
    <x v="7"/>
    <x v="0"/>
    <x v="1"/>
    <x v="1"/>
    <n v="0.4"/>
    <n v="30"/>
    <n v="0.40910000000000002"/>
    <n v="0.76"/>
    <x v="5"/>
    <x v="3"/>
    <x v="4"/>
    <x v="4"/>
  </r>
  <r>
    <n v="32"/>
    <x v="1"/>
    <n v="1"/>
    <x v="8"/>
    <x v="0"/>
    <x v="1"/>
    <x v="2"/>
    <n v="0.4"/>
    <n v="31"/>
    <n v="0.40910000000000002"/>
    <n v="0.71"/>
    <x v="6"/>
    <x v="3"/>
    <x v="21"/>
    <x v="7"/>
  </r>
  <r>
    <n v="33"/>
    <x v="1"/>
    <n v="1"/>
    <x v="9"/>
    <x v="0"/>
    <x v="1"/>
    <x v="1"/>
    <n v="0.38"/>
    <n v="32"/>
    <n v="0.19989999999999999"/>
    <n v="0.76"/>
    <x v="6"/>
    <x v="5"/>
    <x v="23"/>
    <x v="25"/>
  </r>
  <r>
    <n v="34"/>
    <x v="1"/>
    <n v="1"/>
    <x v="10"/>
    <x v="0"/>
    <x v="1"/>
    <x v="1"/>
    <n v="0.36"/>
    <n v="33"/>
    <n v="0.34849999999999998"/>
    <n v="0.81"/>
    <x v="6"/>
    <x v="18"/>
    <x v="24"/>
    <x v="26"/>
  </r>
  <r>
    <n v="35"/>
    <x v="1"/>
    <n v="1"/>
    <x v="11"/>
    <x v="0"/>
    <x v="1"/>
    <x v="1"/>
    <n v="0.36"/>
    <n v="34"/>
    <n v="0.33329999999999999"/>
    <n v="0.71"/>
    <x v="2"/>
    <x v="19"/>
    <x v="25"/>
    <x v="27"/>
  </r>
  <r>
    <n v="36"/>
    <x v="1"/>
    <n v="1"/>
    <x v="12"/>
    <x v="0"/>
    <x v="1"/>
    <x v="1"/>
    <n v="0.36"/>
    <n v="35"/>
    <n v="0.33329999999999999"/>
    <n v="0.66"/>
    <x v="4"/>
    <x v="20"/>
    <x v="26"/>
    <x v="15"/>
  </r>
  <r>
    <n v="37"/>
    <x v="1"/>
    <n v="1"/>
    <x v="13"/>
    <x v="0"/>
    <x v="1"/>
    <x v="1"/>
    <n v="0.36"/>
    <n v="36"/>
    <n v="0.34849999999999998"/>
    <n v="0.66"/>
    <x v="7"/>
    <x v="16"/>
    <x v="27"/>
    <x v="28"/>
  </r>
  <r>
    <n v="38"/>
    <x v="1"/>
    <n v="1"/>
    <x v="14"/>
    <x v="0"/>
    <x v="1"/>
    <x v="2"/>
    <n v="0.36"/>
    <n v="37"/>
    <n v="0.19989999999999999"/>
    <n v="0.76"/>
    <x v="5"/>
    <x v="17"/>
    <x v="11"/>
    <x v="29"/>
  </r>
  <r>
    <n v="39"/>
    <x v="1"/>
    <n v="1"/>
    <x v="15"/>
    <x v="0"/>
    <x v="1"/>
    <x v="2"/>
    <n v="0.34"/>
    <n v="38"/>
    <n v="0.33329999999999999"/>
    <n v="0.81"/>
    <x v="8"/>
    <x v="21"/>
    <x v="11"/>
    <x v="30"/>
  </r>
  <r>
    <n v="40"/>
    <x v="1"/>
    <n v="1"/>
    <x v="16"/>
    <x v="0"/>
    <x v="1"/>
    <x v="2"/>
    <n v="0.34"/>
    <n v="39"/>
    <n v="0.33329999999999999"/>
    <n v="0.71"/>
    <x v="8"/>
    <x v="14"/>
    <x v="28"/>
    <x v="31"/>
  </r>
  <r>
    <n v="41"/>
    <x v="1"/>
    <n v="1"/>
    <x v="17"/>
    <x v="0"/>
    <x v="1"/>
    <x v="0"/>
    <n v="0.34"/>
    <n v="40"/>
    <n v="0.33329999999999999"/>
    <n v="0.56999999999999995"/>
    <x v="5"/>
    <x v="18"/>
    <x v="29"/>
    <x v="32"/>
  </r>
  <r>
    <n v="42"/>
    <x v="1"/>
    <n v="1"/>
    <x v="18"/>
    <x v="0"/>
    <x v="1"/>
    <x v="1"/>
    <n v="0.36"/>
    <n v="41"/>
    <n v="0.33329999999999999"/>
    <n v="0.46"/>
    <x v="9"/>
    <x v="22"/>
    <x v="30"/>
    <x v="26"/>
  </r>
  <r>
    <n v="43"/>
    <x v="1"/>
    <n v="1"/>
    <x v="19"/>
    <x v="0"/>
    <x v="1"/>
    <x v="0"/>
    <n v="0.32"/>
    <n v="42"/>
    <n v="0.28789999999999999"/>
    <n v="0.42"/>
    <x v="10"/>
    <x v="5"/>
    <x v="31"/>
    <x v="33"/>
  </r>
  <r>
    <n v="44"/>
    <x v="1"/>
    <n v="1"/>
    <x v="20"/>
    <x v="0"/>
    <x v="1"/>
    <x v="0"/>
    <n v="0.3"/>
    <n v="43"/>
    <n v="0.19989999999999999"/>
    <n v="0.39"/>
    <x v="11"/>
    <x v="2"/>
    <x v="19"/>
    <x v="34"/>
  </r>
  <r>
    <n v="45"/>
    <x v="1"/>
    <n v="1"/>
    <x v="21"/>
    <x v="0"/>
    <x v="1"/>
    <x v="0"/>
    <n v="0.26"/>
    <n v="44"/>
    <n v="0.2273"/>
    <n v="0.44"/>
    <x v="9"/>
    <x v="16"/>
    <x v="32"/>
    <x v="35"/>
  </r>
  <r>
    <n v="46"/>
    <x v="1"/>
    <n v="1"/>
    <x v="22"/>
    <x v="0"/>
    <x v="1"/>
    <x v="0"/>
    <n v="0.24"/>
    <n v="45"/>
    <n v="0.21210000000000001"/>
    <n v="0.44"/>
    <x v="4"/>
    <x v="3"/>
    <x v="33"/>
    <x v="23"/>
  </r>
  <r>
    <n v="47"/>
    <x v="1"/>
    <n v="1"/>
    <x v="23"/>
    <x v="0"/>
    <x v="1"/>
    <x v="0"/>
    <n v="0.22"/>
    <n v="46"/>
    <n v="0.2273"/>
    <n v="0.47"/>
    <x v="8"/>
    <x v="3"/>
    <x v="21"/>
    <x v="7"/>
  </r>
  <r>
    <n v="48"/>
    <x v="2"/>
    <n v="1"/>
    <x v="0"/>
    <x v="0"/>
    <x v="2"/>
    <x v="0"/>
    <n v="0.22"/>
    <n v="47"/>
    <n v="0.19700000000000001"/>
    <n v="0.44"/>
    <x v="11"/>
    <x v="3"/>
    <x v="34"/>
    <x v="36"/>
  </r>
  <r>
    <n v="49"/>
    <x v="2"/>
    <n v="1"/>
    <x v="1"/>
    <x v="0"/>
    <x v="2"/>
    <x v="0"/>
    <n v="0.2"/>
    <n v="48"/>
    <n v="0.19989999999999999"/>
    <n v="0.44"/>
    <x v="12"/>
    <x v="3"/>
    <x v="6"/>
    <x v="5"/>
  </r>
  <r>
    <n v="50"/>
    <x v="2"/>
    <n v="1"/>
    <x v="4"/>
    <x v="0"/>
    <x v="2"/>
    <x v="0"/>
    <n v="0.16"/>
    <n v="49"/>
    <n v="0.13639999999999999"/>
    <n v="0.47"/>
    <x v="13"/>
    <x v="3"/>
    <x v="4"/>
    <x v="4"/>
  </r>
  <r>
    <n v="51"/>
    <x v="2"/>
    <n v="1"/>
    <x v="5"/>
    <x v="0"/>
    <x v="2"/>
    <x v="0"/>
    <n v="0.16"/>
    <n v="50"/>
    <n v="0.13639999999999999"/>
    <n v="0.47"/>
    <x v="3"/>
    <x v="3"/>
    <x v="35"/>
    <x v="6"/>
  </r>
  <r>
    <n v="52"/>
    <x v="2"/>
    <n v="1"/>
    <x v="6"/>
    <x v="0"/>
    <x v="2"/>
    <x v="0"/>
    <n v="0.14000000000000001"/>
    <n v="51"/>
    <n v="0.1061"/>
    <n v="0.5"/>
    <x v="13"/>
    <x v="3"/>
    <x v="10"/>
    <x v="33"/>
  </r>
  <r>
    <n v="53"/>
    <x v="2"/>
    <n v="1"/>
    <x v="7"/>
    <x v="0"/>
    <x v="2"/>
    <x v="0"/>
    <n v="0.14000000000000001"/>
    <n v="52"/>
    <n v="0.13639999999999999"/>
    <n v="0.5"/>
    <x v="5"/>
    <x v="5"/>
    <x v="36"/>
    <x v="37"/>
  </r>
  <r>
    <n v="54"/>
    <x v="2"/>
    <n v="1"/>
    <x v="8"/>
    <x v="0"/>
    <x v="2"/>
    <x v="0"/>
    <n v="0.14000000000000001"/>
    <n v="53"/>
    <n v="0.1212"/>
    <n v="0.5"/>
    <x v="3"/>
    <x v="5"/>
    <x v="37"/>
    <x v="38"/>
  </r>
  <r>
    <n v="55"/>
    <x v="2"/>
    <n v="1"/>
    <x v="9"/>
    <x v="0"/>
    <x v="2"/>
    <x v="0"/>
    <n v="0.16"/>
    <n v="54"/>
    <n v="0.13639999999999999"/>
    <n v="0.43"/>
    <x v="13"/>
    <x v="18"/>
    <x v="38"/>
    <x v="39"/>
  </r>
  <r>
    <n v="56"/>
    <x v="2"/>
    <n v="1"/>
    <x v="10"/>
    <x v="0"/>
    <x v="2"/>
    <x v="0"/>
    <n v="0.18"/>
    <n v="55"/>
    <n v="0.16669999999999999"/>
    <n v="0.43"/>
    <x v="2"/>
    <x v="16"/>
    <x v="39"/>
    <x v="40"/>
  </r>
  <r>
    <n v="57"/>
    <x v="2"/>
    <n v="1"/>
    <x v="11"/>
    <x v="0"/>
    <x v="2"/>
    <x v="0"/>
    <n v="0.2"/>
    <n v="56"/>
    <n v="0.18179999999999999"/>
    <n v="0.4"/>
    <x v="9"/>
    <x v="22"/>
    <x v="40"/>
    <x v="41"/>
  </r>
  <r>
    <n v="58"/>
    <x v="2"/>
    <n v="1"/>
    <x v="12"/>
    <x v="0"/>
    <x v="2"/>
    <x v="0"/>
    <n v="0.22"/>
    <n v="57"/>
    <n v="0.21210000000000001"/>
    <n v="0.35"/>
    <x v="4"/>
    <x v="23"/>
    <x v="41"/>
    <x v="42"/>
  </r>
  <r>
    <n v="59"/>
    <x v="2"/>
    <n v="1"/>
    <x v="13"/>
    <x v="0"/>
    <x v="2"/>
    <x v="0"/>
    <n v="0.24"/>
    <n v="58"/>
    <n v="0.19989999999999999"/>
    <n v="0.35"/>
    <x v="3"/>
    <x v="1"/>
    <x v="42"/>
    <x v="42"/>
  </r>
  <r>
    <n v="60"/>
    <x v="2"/>
    <n v="1"/>
    <x v="14"/>
    <x v="0"/>
    <x v="2"/>
    <x v="0"/>
    <n v="0.26"/>
    <n v="59"/>
    <n v="0.2424"/>
    <n v="0.3"/>
    <x v="3"/>
    <x v="16"/>
    <x v="43"/>
    <x v="43"/>
  </r>
  <r>
    <n v="61"/>
    <x v="2"/>
    <n v="1"/>
    <x v="15"/>
    <x v="0"/>
    <x v="2"/>
    <x v="0"/>
    <n v="0.26"/>
    <n v="60"/>
    <n v="0.2424"/>
    <n v="0.3"/>
    <x v="2"/>
    <x v="24"/>
    <x v="29"/>
    <x v="44"/>
  </r>
  <r>
    <n v="62"/>
    <x v="2"/>
    <n v="1"/>
    <x v="16"/>
    <x v="0"/>
    <x v="2"/>
    <x v="0"/>
    <n v="0.26"/>
    <n v="61"/>
    <n v="0.2424"/>
    <n v="0.3"/>
    <x v="2"/>
    <x v="14"/>
    <x v="28"/>
    <x v="31"/>
  </r>
  <r>
    <n v="63"/>
    <x v="2"/>
    <n v="1"/>
    <x v="17"/>
    <x v="0"/>
    <x v="2"/>
    <x v="0"/>
    <n v="0.24"/>
    <n v="62"/>
    <n v="0.2273"/>
    <n v="0.3"/>
    <x v="6"/>
    <x v="16"/>
    <x v="44"/>
    <x v="45"/>
  </r>
  <r>
    <n v="64"/>
    <x v="2"/>
    <n v="1"/>
    <x v="18"/>
    <x v="0"/>
    <x v="2"/>
    <x v="0"/>
    <n v="0.24"/>
    <n v="63"/>
    <n v="0.2576"/>
    <n v="0.32"/>
    <x v="14"/>
    <x v="14"/>
    <x v="45"/>
    <x v="45"/>
  </r>
  <r>
    <n v="65"/>
    <x v="2"/>
    <n v="1"/>
    <x v="19"/>
    <x v="0"/>
    <x v="2"/>
    <x v="0"/>
    <n v="0.2"/>
    <n v="64"/>
    <n v="0.2576"/>
    <n v="0.47"/>
    <x v="0"/>
    <x v="1"/>
    <x v="46"/>
    <x v="14"/>
  </r>
  <r>
    <n v="66"/>
    <x v="2"/>
    <n v="1"/>
    <x v="20"/>
    <x v="0"/>
    <x v="2"/>
    <x v="0"/>
    <n v="0.2"/>
    <n v="65"/>
    <n v="0.19989999999999999"/>
    <n v="0.47"/>
    <x v="14"/>
    <x v="0"/>
    <x v="47"/>
    <x v="46"/>
  </r>
  <r>
    <n v="67"/>
    <x v="2"/>
    <n v="1"/>
    <x v="21"/>
    <x v="0"/>
    <x v="2"/>
    <x v="0"/>
    <n v="0.18"/>
    <n v="66"/>
    <n v="0.19700000000000001"/>
    <n v="0.64"/>
    <x v="7"/>
    <x v="0"/>
    <x v="47"/>
    <x v="46"/>
  </r>
  <r>
    <n v="68"/>
    <x v="2"/>
    <n v="1"/>
    <x v="22"/>
    <x v="0"/>
    <x v="2"/>
    <x v="0"/>
    <n v="0.14000000000000001"/>
    <n v="67"/>
    <n v="0.1515"/>
    <n v="0.69"/>
    <x v="7"/>
    <x v="3"/>
    <x v="32"/>
    <x v="25"/>
  </r>
  <r>
    <n v="69"/>
    <x v="2"/>
    <n v="1"/>
    <x v="23"/>
    <x v="0"/>
    <x v="2"/>
    <x v="0"/>
    <n v="0.18"/>
    <n v="68"/>
    <n v="0.21210000000000001"/>
    <n v="0.55000000000000004"/>
    <x v="14"/>
    <x v="5"/>
    <x v="48"/>
    <x v="47"/>
  </r>
  <r>
    <n v="70"/>
    <x v="3"/>
    <n v="1"/>
    <x v="0"/>
    <x v="0"/>
    <x v="3"/>
    <x v="0"/>
    <n v="0.16"/>
    <n v="69"/>
    <n v="0.19989999999999999"/>
    <n v="0.55000000000000004"/>
    <x v="14"/>
    <x v="3"/>
    <x v="34"/>
    <x v="36"/>
  </r>
  <r>
    <n v="71"/>
    <x v="3"/>
    <n v="1"/>
    <x v="1"/>
    <x v="0"/>
    <x v="3"/>
    <x v="0"/>
    <n v="0.16"/>
    <n v="70"/>
    <n v="0.18179999999999999"/>
    <n v="0.59"/>
    <x v="14"/>
    <x v="3"/>
    <x v="6"/>
    <x v="5"/>
  </r>
  <r>
    <n v="72"/>
    <x v="3"/>
    <n v="1"/>
    <x v="2"/>
    <x v="0"/>
    <x v="3"/>
    <x v="0"/>
    <n v="0.14000000000000001"/>
    <n v="71"/>
    <n v="0.1515"/>
    <n v="0.63"/>
    <x v="7"/>
    <x v="3"/>
    <x v="4"/>
    <x v="4"/>
  </r>
  <r>
    <n v="73"/>
    <x v="3"/>
    <n v="1"/>
    <x v="4"/>
    <x v="0"/>
    <x v="3"/>
    <x v="0"/>
    <n v="0.14000000000000001"/>
    <n v="72"/>
    <n v="0.18179999999999999"/>
    <n v="0.63"/>
    <x v="1"/>
    <x v="3"/>
    <x v="6"/>
    <x v="5"/>
  </r>
  <r>
    <n v="74"/>
    <x v="3"/>
    <n v="1"/>
    <x v="5"/>
    <x v="0"/>
    <x v="3"/>
    <x v="0"/>
    <n v="0.12"/>
    <n v="73"/>
    <n v="0.1515"/>
    <n v="0.68"/>
    <x v="14"/>
    <x v="3"/>
    <x v="22"/>
    <x v="48"/>
  </r>
  <r>
    <n v="75"/>
    <x v="3"/>
    <n v="1"/>
    <x v="6"/>
    <x v="0"/>
    <x v="3"/>
    <x v="0"/>
    <n v="0.12"/>
    <n v="74"/>
    <n v="0.1515"/>
    <n v="0.74"/>
    <x v="14"/>
    <x v="3"/>
    <x v="49"/>
    <x v="9"/>
  </r>
  <r>
    <n v="76"/>
    <x v="3"/>
    <n v="1"/>
    <x v="7"/>
    <x v="0"/>
    <x v="3"/>
    <x v="0"/>
    <n v="0.12"/>
    <n v="75"/>
    <n v="0.1515"/>
    <n v="0.74"/>
    <x v="7"/>
    <x v="4"/>
    <x v="50"/>
    <x v="12"/>
  </r>
  <r>
    <n v="77"/>
    <x v="3"/>
    <n v="1"/>
    <x v="8"/>
    <x v="0"/>
    <x v="3"/>
    <x v="0"/>
    <n v="0.14000000000000001"/>
    <n v="76"/>
    <n v="0.1515"/>
    <n v="0.69"/>
    <x v="8"/>
    <x v="4"/>
    <x v="51"/>
    <x v="49"/>
  </r>
  <r>
    <n v="78"/>
    <x v="3"/>
    <n v="1"/>
    <x v="9"/>
    <x v="0"/>
    <x v="3"/>
    <x v="0"/>
    <n v="0.16"/>
    <n v="77"/>
    <n v="0.1515"/>
    <n v="0.64"/>
    <x v="6"/>
    <x v="4"/>
    <x v="52"/>
    <x v="50"/>
  </r>
  <r>
    <n v="79"/>
    <x v="3"/>
    <n v="1"/>
    <x v="10"/>
    <x v="0"/>
    <x v="3"/>
    <x v="1"/>
    <n v="0.16"/>
    <n v="78"/>
    <n v="0.13639999999999999"/>
    <n v="0.69"/>
    <x v="9"/>
    <x v="2"/>
    <x v="53"/>
    <x v="51"/>
  </r>
  <r>
    <n v="80"/>
    <x v="3"/>
    <n v="1"/>
    <x v="11"/>
    <x v="0"/>
    <x v="3"/>
    <x v="0"/>
    <n v="0.22"/>
    <n v="79"/>
    <n v="0.21210000000000001"/>
    <n v="0.51"/>
    <x v="4"/>
    <x v="18"/>
    <x v="54"/>
    <x v="52"/>
  </r>
  <r>
    <n v="81"/>
    <x v="3"/>
    <n v="1"/>
    <x v="12"/>
    <x v="0"/>
    <x v="3"/>
    <x v="0"/>
    <n v="0.22"/>
    <n v="80"/>
    <n v="0.2273"/>
    <n v="0.51"/>
    <x v="8"/>
    <x v="6"/>
    <x v="43"/>
    <x v="53"/>
  </r>
  <r>
    <n v="82"/>
    <x v="3"/>
    <n v="1"/>
    <x v="13"/>
    <x v="0"/>
    <x v="3"/>
    <x v="0"/>
    <n v="0.24"/>
    <n v="81"/>
    <n v="0.2273"/>
    <n v="0.56000000000000005"/>
    <x v="5"/>
    <x v="25"/>
    <x v="55"/>
    <x v="54"/>
  </r>
  <r>
    <n v="83"/>
    <x v="3"/>
    <n v="1"/>
    <x v="14"/>
    <x v="0"/>
    <x v="3"/>
    <x v="0"/>
    <n v="0.26"/>
    <n v="82"/>
    <n v="0.2576"/>
    <n v="0.52"/>
    <x v="6"/>
    <x v="14"/>
    <x v="25"/>
    <x v="55"/>
  </r>
  <r>
    <n v="84"/>
    <x v="3"/>
    <n v="1"/>
    <x v="15"/>
    <x v="0"/>
    <x v="3"/>
    <x v="0"/>
    <n v="0.28000000000000003"/>
    <n v="83"/>
    <n v="0.2727"/>
    <n v="0.52"/>
    <x v="2"/>
    <x v="26"/>
    <x v="41"/>
    <x v="32"/>
  </r>
  <r>
    <n v="85"/>
    <x v="3"/>
    <n v="1"/>
    <x v="16"/>
    <x v="0"/>
    <x v="3"/>
    <x v="0"/>
    <n v="0.3"/>
    <n v="84"/>
    <n v="0.28789999999999999"/>
    <n v="0.49"/>
    <x v="2"/>
    <x v="13"/>
    <x v="56"/>
    <x v="56"/>
  </r>
  <r>
    <n v="86"/>
    <x v="3"/>
    <n v="1"/>
    <x v="17"/>
    <x v="0"/>
    <x v="3"/>
    <x v="0"/>
    <n v="0.28000000000000003"/>
    <n v="85"/>
    <n v="0.2727"/>
    <n v="0.48"/>
    <x v="6"/>
    <x v="22"/>
    <x v="57"/>
    <x v="57"/>
  </r>
  <r>
    <n v="87"/>
    <x v="3"/>
    <n v="1"/>
    <x v="18"/>
    <x v="0"/>
    <x v="3"/>
    <x v="0"/>
    <n v="0.26"/>
    <n v="86"/>
    <n v="0.2576"/>
    <n v="0.48"/>
    <x v="5"/>
    <x v="0"/>
    <x v="58"/>
    <x v="58"/>
  </r>
  <r>
    <n v="88"/>
    <x v="3"/>
    <n v="1"/>
    <x v="19"/>
    <x v="0"/>
    <x v="3"/>
    <x v="0"/>
    <n v="0.24"/>
    <n v="87"/>
    <n v="0.2576"/>
    <n v="0.48"/>
    <x v="14"/>
    <x v="4"/>
    <x v="59"/>
    <x v="59"/>
  </r>
  <r>
    <n v="89"/>
    <x v="3"/>
    <n v="1"/>
    <x v="20"/>
    <x v="0"/>
    <x v="3"/>
    <x v="0"/>
    <n v="0.24"/>
    <n v="88"/>
    <n v="0.2576"/>
    <n v="0.48"/>
    <x v="14"/>
    <x v="5"/>
    <x v="42"/>
    <x v="60"/>
  </r>
  <r>
    <n v="90"/>
    <x v="3"/>
    <n v="1"/>
    <x v="21"/>
    <x v="0"/>
    <x v="3"/>
    <x v="0"/>
    <n v="0.22"/>
    <n v="89"/>
    <n v="0.2727"/>
    <n v="0.64"/>
    <x v="0"/>
    <x v="3"/>
    <x v="41"/>
    <x v="61"/>
  </r>
  <r>
    <n v="91"/>
    <x v="3"/>
    <n v="1"/>
    <x v="22"/>
    <x v="0"/>
    <x v="3"/>
    <x v="0"/>
    <n v="0.22"/>
    <n v="90"/>
    <n v="0.2576"/>
    <n v="0.64"/>
    <x v="1"/>
    <x v="5"/>
    <x v="60"/>
    <x v="17"/>
  </r>
  <r>
    <n v="92"/>
    <x v="3"/>
    <n v="1"/>
    <x v="23"/>
    <x v="0"/>
    <x v="3"/>
    <x v="0"/>
    <n v="0.2"/>
    <n v="91"/>
    <n v="0.2273"/>
    <n v="0.69"/>
    <x v="1"/>
    <x v="4"/>
    <x v="33"/>
    <x v="62"/>
  </r>
  <r>
    <n v="93"/>
    <x v="4"/>
    <n v="1"/>
    <x v="0"/>
    <x v="0"/>
    <x v="4"/>
    <x v="0"/>
    <n v="0.2"/>
    <n v="92"/>
    <n v="0.2576"/>
    <n v="0.64"/>
    <x v="0"/>
    <x v="3"/>
    <x v="8"/>
    <x v="24"/>
  </r>
  <r>
    <n v="94"/>
    <x v="4"/>
    <n v="1"/>
    <x v="1"/>
    <x v="0"/>
    <x v="4"/>
    <x v="0"/>
    <n v="0.16"/>
    <n v="93"/>
    <n v="0.19700000000000001"/>
    <n v="0.74"/>
    <x v="1"/>
    <x v="3"/>
    <x v="8"/>
    <x v="24"/>
  </r>
  <r>
    <n v="95"/>
    <x v="4"/>
    <n v="1"/>
    <x v="2"/>
    <x v="0"/>
    <x v="4"/>
    <x v="0"/>
    <n v="0.16"/>
    <n v="94"/>
    <n v="0.19700000000000001"/>
    <n v="0.74"/>
    <x v="1"/>
    <x v="3"/>
    <x v="6"/>
    <x v="5"/>
  </r>
  <r>
    <n v="96"/>
    <x v="4"/>
    <n v="1"/>
    <x v="4"/>
    <x v="0"/>
    <x v="4"/>
    <x v="0"/>
    <n v="0.24"/>
    <n v="95"/>
    <n v="0.2273"/>
    <n v="0.48"/>
    <x v="6"/>
    <x v="3"/>
    <x v="6"/>
    <x v="5"/>
  </r>
  <r>
    <n v="97"/>
    <x v="4"/>
    <n v="1"/>
    <x v="5"/>
    <x v="0"/>
    <x v="4"/>
    <x v="0"/>
    <n v="0.22"/>
    <n v="96"/>
    <n v="0.2273"/>
    <n v="0.47"/>
    <x v="8"/>
    <x v="3"/>
    <x v="35"/>
    <x v="6"/>
  </r>
  <r>
    <n v="98"/>
    <x v="4"/>
    <n v="1"/>
    <x v="6"/>
    <x v="0"/>
    <x v="4"/>
    <x v="0"/>
    <n v="0.2"/>
    <n v="97"/>
    <n v="0.19700000000000001"/>
    <n v="0.47"/>
    <x v="6"/>
    <x v="3"/>
    <x v="39"/>
    <x v="63"/>
  </r>
  <r>
    <n v="99"/>
    <x v="4"/>
    <n v="1"/>
    <x v="7"/>
    <x v="0"/>
    <x v="4"/>
    <x v="0"/>
    <n v="0.18"/>
    <n v="98"/>
    <n v="0.18179999999999999"/>
    <n v="0.43"/>
    <x v="5"/>
    <x v="5"/>
    <x v="61"/>
    <x v="39"/>
  </r>
  <r>
    <n v="100"/>
    <x v="4"/>
    <n v="1"/>
    <x v="8"/>
    <x v="0"/>
    <x v="4"/>
    <x v="0"/>
    <n v="0.2"/>
    <n v="99"/>
    <n v="0.18179999999999999"/>
    <n v="0.4"/>
    <x v="4"/>
    <x v="0"/>
    <x v="62"/>
    <x v="64"/>
  </r>
  <r>
    <n v="101"/>
    <x v="4"/>
    <n v="1"/>
    <x v="9"/>
    <x v="0"/>
    <x v="4"/>
    <x v="0"/>
    <n v="0.22"/>
    <n v="100"/>
    <n v="0.19700000000000001"/>
    <n v="0.37"/>
    <x v="9"/>
    <x v="15"/>
    <x v="63"/>
    <x v="65"/>
  </r>
  <r>
    <n v="102"/>
    <x v="4"/>
    <n v="1"/>
    <x v="10"/>
    <x v="0"/>
    <x v="4"/>
    <x v="0"/>
    <n v="0.22"/>
    <n v="101"/>
    <n v="0.19700000000000001"/>
    <n v="0.37"/>
    <x v="9"/>
    <x v="17"/>
    <x v="42"/>
    <x v="52"/>
  </r>
  <r>
    <n v="103"/>
    <x v="4"/>
    <n v="1"/>
    <x v="11"/>
    <x v="0"/>
    <x v="4"/>
    <x v="0"/>
    <n v="0.26"/>
    <n v="102"/>
    <n v="0.2273"/>
    <n v="0.33"/>
    <x v="9"/>
    <x v="6"/>
    <x v="60"/>
    <x v="66"/>
  </r>
  <r>
    <n v="104"/>
    <x v="4"/>
    <n v="1"/>
    <x v="12"/>
    <x v="0"/>
    <x v="4"/>
    <x v="0"/>
    <n v="0.26"/>
    <n v="103"/>
    <n v="0.2273"/>
    <n v="0.33"/>
    <x v="9"/>
    <x v="2"/>
    <x v="64"/>
    <x v="67"/>
  </r>
  <r>
    <n v="105"/>
    <x v="4"/>
    <n v="1"/>
    <x v="13"/>
    <x v="0"/>
    <x v="4"/>
    <x v="0"/>
    <n v="0.28000000000000003"/>
    <n v="104"/>
    <n v="0.2576"/>
    <n v="0.3"/>
    <x v="4"/>
    <x v="15"/>
    <x v="65"/>
    <x v="68"/>
  </r>
  <r>
    <n v="106"/>
    <x v="4"/>
    <n v="1"/>
    <x v="14"/>
    <x v="0"/>
    <x v="4"/>
    <x v="0"/>
    <n v="0.3"/>
    <n v="105"/>
    <n v="0.28789999999999999"/>
    <n v="0.28000000000000003"/>
    <x v="5"/>
    <x v="22"/>
    <x v="15"/>
    <x v="69"/>
  </r>
  <r>
    <n v="107"/>
    <x v="4"/>
    <n v="1"/>
    <x v="15"/>
    <x v="0"/>
    <x v="4"/>
    <x v="0"/>
    <n v="0.3"/>
    <n v="106"/>
    <n v="0.28789999999999999"/>
    <n v="0.28000000000000003"/>
    <x v="5"/>
    <x v="18"/>
    <x v="11"/>
    <x v="69"/>
  </r>
  <r>
    <n v="108"/>
    <x v="4"/>
    <n v="1"/>
    <x v="16"/>
    <x v="0"/>
    <x v="4"/>
    <x v="0"/>
    <n v="0.3"/>
    <n v="107"/>
    <n v="0.31819999999999998"/>
    <n v="0.28000000000000003"/>
    <x v="1"/>
    <x v="17"/>
    <x v="66"/>
    <x v="70"/>
  </r>
  <r>
    <n v="109"/>
    <x v="4"/>
    <n v="1"/>
    <x v="17"/>
    <x v="0"/>
    <x v="4"/>
    <x v="0"/>
    <n v="0.24"/>
    <n v="108"/>
    <n v="0.2273"/>
    <n v="0.38"/>
    <x v="5"/>
    <x v="17"/>
    <x v="67"/>
    <x v="71"/>
  </r>
  <r>
    <n v="110"/>
    <x v="4"/>
    <n v="1"/>
    <x v="18"/>
    <x v="0"/>
    <x v="4"/>
    <x v="0"/>
    <n v="0.24"/>
    <n v="109"/>
    <n v="0.2424"/>
    <n v="0.38"/>
    <x v="7"/>
    <x v="0"/>
    <x v="68"/>
    <x v="72"/>
  </r>
  <r>
    <n v="111"/>
    <x v="4"/>
    <n v="1"/>
    <x v="19"/>
    <x v="0"/>
    <x v="4"/>
    <x v="0"/>
    <n v="0.24"/>
    <n v="110"/>
    <n v="0.2576"/>
    <n v="0.38"/>
    <x v="14"/>
    <x v="2"/>
    <x v="69"/>
    <x v="73"/>
  </r>
  <r>
    <n v="112"/>
    <x v="4"/>
    <n v="1"/>
    <x v="20"/>
    <x v="0"/>
    <x v="4"/>
    <x v="0"/>
    <n v="0.22"/>
    <n v="111"/>
    <n v="0.2273"/>
    <n v="0.47"/>
    <x v="8"/>
    <x v="18"/>
    <x v="70"/>
    <x v="70"/>
  </r>
  <r>
    <n v="113"/>
    <x v="4"/>
    <n v="1"/>
    <x v="21"/>
    <x v="0"/>
    <x v="4"/>
    <x v="0"/>
    <n v="0.2"/>
    <n v="112"/>
    <n v="0.19700000000000001"/>
    <n v="0.51"/>
    <x v="5"/>
    <x v="0"/>
    <x v="71"/>
    <x v="74"/>
  </r>
  <r>
    <n v="114"/>
    <x v="4"/>
    <n v="1"/>
    <x v="22"/>
    <x v="0"/>
    <x v="4"/>
    <x v="0"/>
    <n v="0.18"/>
    <n v="113"/>
    <n v="0.19700000000000001"/>
    <n v="0.55000000000000004"/>
    <x v="7"/>
    <x v="5"/>
    <x v="40"/>
    <x v="51"/>
  </r>
  <r>
    <n v="115"/>
    <x v="4"/>
    <n v="1"/>
    <x v="23"/>
    <x v="0"/>
    <x v="4"/>
    <x v="0"/>
    <n v="0.2"/>
    <n v="114"/>
    <n v="0.2576"/>
    <n v="0.47"/>
    <x v="0"/>
    <x v="5"/>
    <x v="72"/>
    <x v="75"/>
  </r>
  <r>
    <n v="116"/>
    <x v="5"/>
    <n v="1"/>
    <x v="0"/>
    <x v="0"/>
    <x v="5"/>
    <x v="0"/>
    <n v="0.18"/>
    <n v="115"/>
    <n v="0.2424"/>
    <n v="0.55000000000000004"/>
    <x v="0"/>
    <x v="3"/>
    <x v="48"/>
    <x v="62"/>
  </r>
  <r>
    <n v="117"/>
    <x v="5"/>
    <n v="1"/>
    <x v="1"/>
    <x v="0"/>
    <x v="5"/>
    <x v="0"/>
    <n v="0.16"/>
    <n v="116"/>
    <n v="0.2273"/>
    <n v="0.64"/>
    <x v="0"/>
    <x v="3"/>
    <x v="22"/>
    <x v="48"/>
  </r>
  <r>
    <n v="118"/>
    <x v="5"/>
    <n v="1"/>
    <x v="2"/>
    <x v="0"/>
    <x v="5"/>
    <x v="0"/>
    <n v="0.16"/>
    <n v="117"/>
    <n v="0.2273"/>
    <n v="0.64"/>
    <x v="0"/>
    <x v="3"/>
    <x v="6"/>
    <x v="5"/>
  </r>
  <r>
    <n v="119"/>
    <x v="5"/>
    <n v="1"/>
    <x v="4"/>
    <x v="0"/>
    <x v="5"/>
    <x v="1"/>
    <n v="0.16"/>
    <n v="118"/>
    <n v="0.19700000000000001"/>
    <n v="0.64"/>
    <x v="1"/>
    <x v="3"/>
    <x v="4"/>
    <x v="4"/>
  </r>
  <r>
    <n v="120"/>
    <x v="5"/>
    <n v="1"/>
    <x v="5"/>
    <x v="0"/>
    <x v="5"/>
    <x v="1"/>
    <n v="0.14000000000000001"/>
    <n v="119"/>
    <n v="0.18179999999999999"/>
    <n v="0.69"/>
    <x v="1"/>
    <x v="3"/>
    <x v="22"/>
    <x v="48"/>
  </r>
  <r>
    <n v="121"/>
    <x v="5"/>
    <n v="1"/>
    <x v="6"/>
    <x v="0"/>
    <x v="5"/>
    <x v="1"/>
    <n v="0.14000000000000001"/>
    <n v="120"/>
    <n v="0.16669999999999999"/>
    <n v="0.63"/>
    <x v="14"/>
    <x v="3"/>
    <x v="49"/>
    <x v="9"/>
  </r>
  <r>
    <n v="122"/>
    <x v="5"/>
    <n v="1"/>
    <x v="7"/>
    <x v="0"/>
    <x v="5"/>
    <x v="1"/>
    <n v="0.16"/>
    <n v="121"/>
    <n v="0.2273"/>
    <n v="0.59"/>
    <x v="0"/>
    <x v="3"/>
    <x v="73"/>
    <x v="76"/>
  </r>
  <r>
    <n v="123"/>
    <x v="5"/>
    <n v="1"/>
    <x v="8"/>
    <x v="0"/>
    <x v="5"/>
    <x v="0"/>
    <n v="0.16"/>
    <n v="122"/>
    <n v="0.2273"/>
    <n v="0.59"/>
    <x v="0"/>
    <x v="0"/>
    <x v="74"/>
    <x v="77"/>
  </r>
  <r>
    <n v="124"/>
    <x v="5"/>
    <n v="1"/>
    <x v="9"/>
    <x v="0"/>
    <x v="5"/>
    <x v="1"/>
    <n v="0.18"/>
    <n v="123"/>
    <n v="0.2424"/>
    <n v="0.51"/>
    <x v="0"/>
    <x v="15"/>
    <x v="75"/>
    <x v="78"/>
  </r>
  <r>
    <n v="125"/>
    <x v="5"/>
    <n v="1"/>
    <x v="10"/>
    <x v="0"/>
    <x v="5"/>
    <x v="0"/>
    <n v="0.2"/>
    <n v="124"/>
    <n v="0.2576"/>
    <n v="0.47"/>
    <x v="0"/>
    <x v="0"/>
    <x v="76"/>
    <x v="79"/>
  </r>
  <r>
    <n v="126"/>
    <x v="5"/>
    <n v="1"/>
    <x v="11"/>
    <x v="0"/>
    <x v="5"/>
    <x v="0"/>
    <n v="0.22"/>
    <n v="125"/>
    <n v="0.2576"/>
    <n v="0.44"/>
    <x v="1"/>
    <x v="4"/>
    <x v="77"/>
    <x v="29"/>
  </r>
  <r>
    <n v="127"/>
    <x v="5"/>
    <n v="1"/>
    <x v="12"/>
    <x v="0"/>
    <x v="5"/>
    <x v="0"/>
    <n v="0.26"/>
    <n v="126"/>
    <n v="0.28789999999999999"/>
    <n v="0.35"/>
    <x v="0"/>
    <x v="15"/>
    <x v="78"/>
    <x v="11"/>
  </r>
  <r>
    <n v="128"/>
    <x v="5"/>
    <n v="1"/>
    <x v="13"/>
    <x v="0"/>
    <x v="5"/>
    <x v="0"/>
    <n v="0.26"/>
    <n v="127"/>
    <n v="0.2727"/>
    <n v="0.35"/>
    <x v="14"/>
    <x v="6"/>
    <x v="11"/>
    <x v="16"/>
  </r>
  <r>
    <n v="129"/>
    <x v="5"/>
    <n v="1"/>
    <x v="14"/>
    <x v="0"/>
    <x v="5"/>
    <x v="0"/>
    <n v="0.28000000000000003"/>
    <n v="128"/>
    <n v="0.2727"/>
    <n v="0.36"/>
    <x v="8"/>
    <x v="16"/>
    <x v="79"/>
    <x v="27"/>
  </r>
  <r>
    <n v="130"/>
    <x v="5"/>
    <n v="1"/>
    <x v="15"/>
    <x v="0"/>
    <x v="5"/>
    <x v="0"/>
    <n v="0.28000000000000003"/>
    <n v="129"/>
    <n v="0.2727"/>
    <n v="0.36"/>
    <x v="0"/>
    <x v="1"/>
    <x v="25"/>
    <x v="69"/>
  </r>
  <r>
    <n v="131"/>
    <x v="5"/>
    <n v="1"/>
    <x v="16"/>
    <x v="0"/>
    <x v="5"/>
    <x v="0"/>
    <n v="0.26"/>
    <n v="130"/>
    <n v="0.2576"/>
    <n v="0.38"/>
    <x v="8"/>
    <x v="6"/>
    <x v="64"/>
    <x v="80"/>
  </r>
  <r>
    <n v="132"/>
    <x v="5"/>
    <n v="1"/>
    <x v="17"/>
    <x v="0"/>
    <x v="5"/>
    <x v="0"/>
    <n v="0.22"/>
    <n v="131"/>
    <n v="0.2273"/>
    <n v="0.51"/>
    <x v="8"/>
    <x v="14"/>
    <x v="80"/>
    <x v="81"/>
  </r>
  <r>
    <n v="133"/>
    <x v="5"/>
    <n v="1"/>
    <x v="18"/>
    <x v="0"/>
    <x v="5"/>
    <x v="0"/>
    <n v="0.22"/>
    <n v="132"/>
    <n v="0.2273"/>
    <n v="0.51"/>
    <x v="7"/>
    <x v="2"/>
    <x v="81"/>
    <x v="82"/>
  </r>
  <r>
    <n v="134"/>
    <x v="5"/>
    <n v="1"/>
    <x v="19"/>
    <x v="0"/>
    <x v="5"/>
    <x v="0"/>
    <n v="0.22"/>
    <n v="133"/>
    <n v="0.2576"/>
    <n v="0.55000000000000004"/>
    <x v="1"/>
    <x v="0"/>
    <x v="63"/>
    <x v="59"/>
  </r>
  <r>
    <n v="135"/>
    <x v="5"/>
    <n v="1"/>
    <x v="20"/>
    <x v="0"/>
    <x v="5"/>
    <x v="0"/>
    <n v="0.2"/>
    <n v="134"/>
    <n v="0.21210000000000001"/>
    <n v="0.51"/>
    <x v="8"/>
    <x v="0"/>
    <x v="43"/>
    <x v="83"/>
  </r>
  <r>
    <n v="136"/>
    <x v="5"/>
    <n v="1"/>
    <x v="21"/>
    <x v="0"/>
    <x v="5"/>
    <x v="1"/>
    <n v="0.22"/>
    <n v="135"/>
    <n v="0.21210000000000001"/>
    <n v="0.55000000000000004"/>
    <x v="6"/>
    <x v="3"/>
    <x v="41"/>
    <x v="61"/>
  </r>
  <r>
    <n v="137"/>
    <x v="5"/>
    <n v="1"/>
    <x v="22"/>
    <x v="0"/>
    <x v="5"/>
    <x v="1"/>
    <n v="0.22"/>
    <n v="136"/>
    <n v="0.21210000000000001"/>
    <n v="0.51"/>
    <x v="3"/>
    <x v="5"/>
    <x v="82"/>
    <x v="46"/>
  </r>
  <r>
    <n v="138"/>
    <x v="5"/>
    <n v="1"/>
    <x v="23"/>
    <x v="0"/>
    <x v="5"/>
    <x v="1"/>
    <n v="0.2"/>
    <n v="137"/>
    <n v="0.19700000000000001"/>
    <n v="0.59"/>
    <x v="5"/>
    <x v="17"/>
    <x v="23"/>
    <x v="84"/>
  </r>
  <r>
    <n v="139"/>
    <x v="6"/>
    <n v="1"/>
    <x v="0"/>
    <x v="0"/>
    <x v="6"/>
    <x v="1"/>
    <n v="0.2"/>
    <n v="138"/>
    <n v="0.19700000000000001"/>
    <n v="0.64"/>
    <x v="5"/>
    <x v="17"/>
    <x v="0"/>
    <x v="22"/>
  </r>
  <r>
    <n v="140"/>
    <x v="6"/>
    <n v="1"/>
    <x v="1"/>
    <x v="0"/>
    <x v="6"/>
    <x v="1"/>
    <n v="0.2"/>
    <n v="139"/>
    <n v="0.19700000000000001"/>
    <n v="0.69"/>
    <x v="6"/>
    <x v="4"/>
    <x v="34"/>
    <x v="85"/>
  </r>
  <r>
    <n v="141"/>
    <x v="6"/>
    <n v="1"/>
    <x v="2"/>
    <x v="0"/>
    <x v="6"/>
    <x v="1"/>
    <n v="0.2"/>
    <n v="140"/>
    <n v="0.19700000000000001"/>
    <n v="0.69"/>
    <x v="6"/>
    <x v="3"/>
    <x v="4"/>
    <x v="4"/>
  </r>
  <r>
    <n v="142"/>
    <x v="6"/>
    <n v="1"/>
    <x v="4"/>
    <x v="0"/>
    <x v="6"/>
    <x v="1"/>
    <n v="0.2"/>
    <n v="141"/>
    <n v="0.21210000000000001"/>
    <n v="0.69"/>
    <x v="7"/>
    <x v="3"/>
    <x v="4"/>
    <x v="4"/>
  </r>
  <r>
    <n v="143"/>
    <x v="6"/>
    <n v="1"/>
    <x v="5"/>
    <x v="0"/>
    <x v="6"/>
    <x v="2"/>
    <n v="0.22"/>
    <n v="142"/>
    <n v="0.2727"/>
    <n v="0.55000000000000004"/>
    <x v="0"/>
    <x v="3"/>
    <x v="34"/>
    <x v="36"/>
  </r>
  <r>
    <n v="144"/>
    <x v="6"/>
    <n v="1"/>
    <x v="6"/>
    <x v="0"/>
    <x v="6"/>
    <x v="1"/>
    <n v="0.2"/>
    <n v="143"/>
    <n v="0.2576"/>
    <n v="0.69"/>
    <x v="0"/>
    <x v="1"/>
    <x v="16"/>
    <x v="19"/>
  </r>
  <r>
    <n v="145"/>
    <x v="6"/>
    <n v="1"/>
    <x v="7"/>
    <x v="0"/>
    <x v="6"/>
    <x v="0"/>
    <n v="0.2"/>
    <n v="144"/>
    <n v="0.21210000000000001"/>
    <n v="0.69"/>
    <x v="7"/>
    <x v="1"/>
    <x v="83"/>
    <x v="11"/>
  </r>
  <r>
    <n v="146"/>
    <x v="6"/>
    <n v="1"/>
    <x v="8"/>
    <x v="0"/>
    <x v="6"/>
    <x v="0"/>
    <n v="0.2"/>
    <n v="145"/>
    <n v="0.19700000000000001"/>
    <n v="0.51"/>
    <x v="2"/>
    <x v="20"/>
    <x v="84"/>
    <x v="86"/>
  </r>
  <r>
    <n v="147"/>
    <x v="6"/>
    <n v="1"/>
    <x v="9"/>
    <x v="0"/>
    <x v="6"/>
    <x v="0"/>
    <n v="0.2"/>
    <n v="146"/>
    <n v="0.18179999999999999"/>
    <n v="0.47"/>
    <x v="4"/>
    <x v="14"/>
    <x v="85"/>
    <x v="87"/>
  </r>
  <r>
    <n v="148"/>
    <x v="6"/>
    <n v="1"/>
    <x v="10"/>
    <x v="0"/>
    <x v="6"/>
    <x v="0"/>
    <n v="0.22"/>
    <n v="147"/>
    <n v="0.19700000000000001"/>
    <n v="0.37"/>
    <x v="9"/>
    <x v="19"/>
    <x v="12"/>
    <x v="55"/>
  </r>
  <r>
    <n v="149"/>
    <x v="6"/>
    <n v="1"/>
    <x v="11"/>
    <x v="0"/>
    <x v="6"/>
    <x v="1"/>
    <n v="0.2"/>
    <n v="148"/>
    <n v="0.19700000000000001"/>
    <n v="0.4"/>
    <x v="6"/>
    <x v="21"/>
    <x v="41"/>
    <x v="16"/>
  </r>
  <r>
    <n v="150"/>
    <x v="6"/>
    <n v="1"/>
    <x v="12"/>
    <x v="0"/>
    <x v="6"/>
    <x v="1"/>
    <n v="0.2"/>
    <n v="149"/>
    <n v="0.19700000000000001"/>
    <n v="0.37"/>
    <x v="2"/>
    <x v="14"/>
    <x v="54"/>
    <x v="29"/>
  </r>
  <r>
    <n v="151"/>
    <x v="6"/>
    <n v="1"/>
    <x v="13"/>
    <x v="0"/>
    <x v="6"/>
    <x v="1"/>
    <n v="0.2"/>
    <n v="150"/>
    <n v="0.18179999999999999"/>
    <n v="0.37"/>
    <x v="3"/>
    <x v="14"/>
    <x v="27"/>
    <x v="88"/>
  </r>
  <r>
    <n v="152"/>
    <x v="6"/>
    <n v="1"/>
    <x v="14"/>
    <x v="0"/>
    <x v="6"/>
    <x v="1"/>
    <n v="0.2"/>
    <n v="151"/>
    <n v="0.19700000000000001"/>
    <n v="0.4"/>
    <x v="2"/>
    <x v="18"/>
    <x v="30"/>
    <x v="89"/>
  </r>
  <r>
    <n v="153"/>
    <x v="6"/>
    <n v="1"/>
    <x v="15"/>
    <x v="0"/>
    <x v="6"/>
    <x v="1"/>
    <n v="0.2"/>
    <n v="152"/>
    <n v="0.21210000000000001"/>
    <n v="0.37"/>
    <x v="8"/>
    <x v="14"/>
    <x v="36"/>
    <x v="44"/>
  </r>
  <r>
    <n v="154"/>
    <x v="6"/>
    <n v="1"/>
    <x v="16"/>
    <x v="0"/>
    <x v="6"/>
    <x v="1"/>
    <n v="0.2"/>
    <n v="153"/>
    <n v="0.21210000000000001"/>
    <n v="0.37"/>
    <x v="8"/>
    <x v="2"/>
    <x v="70"/>
    <x v="90"/>
  </r>
  <r>
    <n v="155"/>
    <x v="6"/>
    <n v="1"/>
    <x v="17"/>
    <x v="0"/>
    <x v="6"/>
    <x v="1"/>
    <n v="0.2"/>
    <n v="154"/>
    <n v="0.2576"/>
    <n v="0.37"/>
    <x v="0"/>
    <x v="14"/>
    <x v="86"/>
    <x v="91"/>
  </r>
  <r>
    <n v="156"/>
    <x v="6"/>
    <n v="1"/>
    <x v="18"/>
    <x v="0"/>
    <x v="6"/>
    <x v="0"/>
    <n v="0.2"/>
    <n v="155"/>
    <n v="0.2273"/>
    <n v="0.4"/>
    <x v="1"/>
    <x v="18"/>
    <x v="75"/>
    <x v="92"/>
  </r>
  <r>
    <n v="157"/>
    <x v="6"/>
    <n v="1"/>
    <x v="19"/>
    <x v="0"/>
    <x v="6"/>
    <x v="0"/>
    <n v="0.16"/>
    <n v="156"/>
    <n v="0.19700000000000001"/>
    <n v="0.55000000000000004"/>
    <x v="1"/>
    <x v="0"/>
    <x v="50"/>
    <x v="76"/>
  </r>
  <r>
    <n v="158"/>
    <x v="6"/>
    <n v="1"/>
    <x v="20"/>
    <x v="0"/>
    <x v="6"/>
    <x v="0"/>
    <n v="0.18"/>
    <n v="157"/>
    <n v="0.21210000000000001"/>
    <n v="0.47"/>
    <x v="14"/>
    <x v="5"/>
    <x v="54"/>
    <x v="41"/>
  </r>
  <r>
    <n v="159"/>
    <x v="6"/>
    <n v="1"/>
    <x v="21"/>
    <x v="0"/>
    <x v="6"/>
    <x v="0"/>
    <n v="0.18"/>
    <n v="158"/>
    <n v="0.19700000000000001"/>
    <n v="0.47"/>
    <x v="7"/>
    <x v="3"/>
    <x v="87"/>
    <x v="21"/>
  </r>
  <r>
    <n v="160"/>
    <x v="6"/>
    <n v="1"/>
    <x v="22"/>
    <x v="0"/>
    <x v="6"/>
    <x v="1"/>
    <n v="0.18"/>
    <n v="159"/>
    <n v="0.19700000000000001"/>
    <n v="0.43"/>
    <x v="8"/>
    <x v="4"/>
    <x v="60"/>
    <x v="9"/>
  </r>
  <r>
    <n v="161"/>
    <x v="6"/>
    <n v="1"/>
    <x v="23"/>
    <x v="0"/>
    <x v="6"/>
    <x v="1"/>
    <n v="0.18"/>
    <n v="160"/>
    <n v="0.19700000000000001"/>
    <n v="0.51"/>
    <x v="8"/>
    <x v="5"/>
    <x v="88"/>
    <x v="93"/>
  </r>
  <r>
    <n v="162"/>
    <x v="7"/>
    <n v="1"/>
    <x v="0"/>
    <x v="0"/>
    <x v="0"/>
    <x v="1"/>
    <n v="0.18"/>
    <n v="161"/>
    <n v="0.19700000000000001"/>
    <n v="0.51"/>
    <x v="8"/>
    <x v="5"/>
    <x v="9"/>
    <x v="94"/>
  </r>
  <r>
    <n v="163"/>
    <x v="7"/>
    <n v="1"/>
    <x v="1"/>
    <x v="0"/>
    <x v="0"/>
    <x v="1"/>
    <n v="0.18"/>
    <n v="162"/>
    <n v="0.21210000000000001"/>
    <n v="0.55000000000000004"/>
    <x v="1"/>
    <x v="5"/>
    <x v="89"/>
    <x v="0"/>
  </r>
  <r>
    <n v="164"/>
    <x v="7"/>
    <n v="1"/>
    <x v="2"/>
    <x v="0"/>
    <x v="0"/>
    <x v="1"/>
    <n v="0.18"/>
    <n v="163"/>
    <n v="0.2424"/>
    <n v="0.55000000000000004"/>
    <x v="0"/>
    <x v="0"/>
    <x v="0"/>
    <x v="0"/>
  </r>
  <r>
    <n v="165"/>
    <x v="7"/>
    <n v="1"/>
    <x v="3"/>
    <x v="0"/>
    <x v="0"/>
    <x v="2"/>
    <n v="0.18"/>
    <n v="164"/>
    <n v="0.19700000000000001"/>
    <n v="0.55000000000000004"/>
    <x v="8"/>
    <x v="3"/>
    <x v="7"/>
    <x v="85"/>
  </r>
  <r>
    <n v="166"/>
    <x v="7"/>
    <n v="1"/>
    <x v="4"/>
    <x v="0"/>
    <x v="0"/>
    <x v="2"/>
    <n v="0.18"/>
    <n v="165"/>
    <n v="0.19700000000000001"/>
    <n v="0.55000000000000004"/>
    <x v="8"/>
    <x v="3"/>
    <x v="4"/>
    <x v="4"/>
  </r>
  <r>
    <n v="167"/>
    <x v="7"/>
    <n v="1"/>
    <x v="5"/>
    <x v="0"/>
    <x v="0"/>
    <x v="1"/>
    <n v="0.16"/>
    <n v="166"/>
    <n v="0.16669999999999999"/>
    <n v="0.74"/>
    <x v="8"/>
    <x v="3"/>
    <x v="34"/>
    <x v="36"/>
  </r>
  <r>
    <n v="168"/>
    <x v="7"/>
    <n v="1"/>
    <x v="6"/>
    <x v="0"/>
    <x v="0"/>
    <x v="1"/>
    <n v="0.16"/>
    <n v="167"/>
    <n v="0.16669999999999999"/>
    <n v="0.74"/>
    <x v="8"/>
    <x v="3"/>
    <x v="6"/>
    <x v="5"/>
  </r>
  <r>
    <n v="169"/>
    <x v="7"/>
    <n v="1"/>
    <x v="7"/>
    <x v="0"/>
    <x v="0"/>
    <x v="1"/>
    <n v="0.16"/>
    <n v="168"/>
    <n v="0.18179999999999999"/>
    <n v="0.74"/>
    <x v="14"/>
    <x v="5"/>
    <x v="21"/>
    <x v="23"/>
  </r>
  <r>
    <n v="170"/>
    <x v="7"/>
    <n v="1"/>
    <x v="8"/>
    <x v="0"/>
    <x v="0"/>
    <x v="2"/>
    <n v="0.16"/>
    <n v="169"/>
    <n v="0.18179999999999999"/>
    <n v="0.93"/>
    <x v="14"/>
    <x v="3"/>
    <x v="89"/>
    <x v="93"/>
  </r>
  <r>
    <n v="171"/>
    <x v="7"/>
    <n v="1"/>
    <x v="9"/>
    <x v="0"/>
    <x v="0"/>
    <x v="2"/>
    <n v="0.16"/>
    <n v="170"/>
    <n v="0.18179999999999999"/>
    <n v="0.93"/>
    <x v="14"/>
    <x v="3"/>
    <x v="32"/>
    <x v="25"/>
  </r>
  <r>
    <n v="172"/>
    <x v="7"/>
    <n v="1"/>
    <x v="10"/>
    <x v="0"/>
    <x v="0"/>
    <x v="1"/>
    <n v="0.18"/>
    <n v="171"/>
    <n v="0.19700000000000001"/>
    <n v="0.8"/>
    <x v="8"/>
    <x v="2"/>
    <x v="90"/>
    <x v="42"/>
  </r>
  <r>
    <n v="173"/>
    <x v="7"/>
    <n v="1"/>
    <x v="11"/>
    <x v="0"/>
    <x v="0"/>
    <x v="1"/>
    <n v="0.2"/>
    <n v="172"/>
    <n v="0.18179999999999999"/>
    <n v="0.69"/>
    <x v="13"/>
    <x v="4"/>
    <x v="91"/>
    <x v="69"/>
  </r>
  <r>
    <n v="174"/>
    <x v="7"/>
    <n v="1"/>
    <x v="12"/>
    <x v="0"/>
    <x v="0"/>
    <x v="1"/>
    <n v="0.2"/>
    <n v="173"/>
    <n v="0.18179999999999999"/>
    <n v="0.59"/>
    <x v="11"/>
    <x v="1"/>
    <x v="92"/>
    <x v="95"/>
  </r>
  <r>
    <n v="175"/>
    <x v="7"/>
    <n v="1"/>
    <x v="13"/>
    <x v="0"/>
    <x v="0"/>
    <x v="0"/>
    <n v="0.2"/>
    <n v="174"/>
    <n v="0.18179999999999999"/>
    <n v="0.44"/>
    <x v="9"/>
    <x v="18"/>
    <x v="73"/>
    <x v="96"/>
  </r>
  <r>
    <n v="176"/>
    <x v="7"/>
    <n v="1"/>
    <x v="14"/>
    <x v="0"/>
    <x v="0"/>
    <x v="0"/>
    <n v="0.2"/>
    <n v="175"/>
    <n v="0.16669999999999999"/>
    <n v="0.32"/>
    <x v="15"/>
    <x v="6"/>
    <x v="93"/>
    <x v="76"/>
  </r>
  <r>
    <n v="177"/>
    <x v="7"/>
    <n v="1"/>
    <x v="15"/>
    <x v="0"/>
    <x v="0"/>
    <x v="0"/>
    <n v="0.2"/>
    <n v="176"/>
    <n v="0.16669999999999999"/>
    <n v="0.32"/>
    <x v="10"/>
    <x v="2"/>
    <x v="94"/>
    <x v="30"/>
  </r>
  <r>
    <n v="178"/>
    <x v="7"/>
    <n v="1"/>
    <x v="16"/>
    <x v="0"/>
    <x v="0"/>
    <x v="0"/>
    <n v="0.18"/>
    <n v="177"/>
    <n v="0.13639999999999999"/>
    <n v="0.28999999999999998"/>
    <x v="10"/>
    <x v="1"/>
    <x v="56"/>
    <x v="31"/>
  </r>
  <r>
    <n v="179"/>
    <x v="7"/>
    <n v="1"/>
    <x v="17"/>
    <x v="0"/>
    <x v="0"/>
    <x v="0"/>
    <n v="0.16"/>
    <n v="178"/>
    <n v="0.1212"/>
    <n v="0.37"/>
    <x v="16"/>
    <x v="2"/>
    <x v="27"/>
    <x v="83"/>
  </r>
  <r>
    <n v="180"/>
    <x v="7"/>
    <n v="1"/>
    <x v="18"/>
    <x v="0"/>
    <x v="0"/>
    <x v="0"/>
    <n v="0.14000000000000001"/>
    <n v="179"/>
    <n v="0.1212"/>
    <n v="0.39"/>
    <x v="4"/>
    <x v="0"/>
    <x v="15"/>
    <x v="97"/>
  </r>
  <r>
    <n v="181"/>
    <x v="7"/>
    <n v="1"/>
    <x v="19"/>
    <x v="0"/>
    <x v="0"/>
    <x v="0"/>
    <n v="0.14000000000000001"/>
    <n v="180"/>
    <n v="0.1212"/>
    <n v="0.36"/>
    <x v="2"/>
    <x v="17"/>
    <x v="16"/>
    <x v="33"/>
  </r>
  <r>
    <n v="182"/>
    <x v="7"/>
    <n v="1"/>
    <x v="20"/>
    <x v="0"/>
    <x v="0"/>
    <x v="0"/>
    <n v="0.12"/>
    <n v="181"/>
    <n v="0.1212"/>
    <n v="0.36"/>
    <x v="2"/>
    <x v="3"/>
    <x v="95"/>
    <x v="20"/>
  </r>
  <r>
    <n v="183"/>
    <x v="7"/>
    <n v="1"/>
    <x v="21"/>
    <x v="0"/>
    <x v="0"/>
    <x v="0"/>
    <n v="0.12"/>
    <n v="182"/>
    <n v="0.1061"/>
    <n v="0.39"/>
    <x v="11"/>
    <x v="4"/>
    <x v="96"/>
    <x v="18"/>
  </r>
  <r>
    <n v="184"/>
    <x v="7"/>
    <n v="1"/>
    <x v="22"/>
    <x v="0"/>
    <x v="0"/>
    <x v="0"/>
    <n v="0.12"/>
    <n v="183"/>
    <n v="0.1061"/>
    <n v="0.36"/>
    <x v="13"/>
    <x v="5"/>
    <x v="39"/>
    <x v="19"/>
  </r>
  <r>
    <n v="185"/>
    <x v="7"/>
    <n v="1"/>
    <x v="23"/>
    <x v="0"/>
    <x v="0"/>
    <x v="0"/>
    <n v="0.1"/>
    <n v="184"/>
    <n v="6.0600000000000001E-2"/>
    <n v="0.39"/>
    <x v="10"/>
    <x v="3"/>
    <x v="97"/>
    <x v="34"/>
  </r>
  <r>
    <n v="186"/>
    <x v="8"/>
    <n v="1"/>
    <x v="0"/>
    <x v="0"/>
    <x v="1"/>
    <x v="0"/>
    <n v="0.1"/>
    <n v="185"/>
    <n v="7.5800000000000006E-2"/>
    <n v="0.42"/>
    <x v="13"/>
    <x v="5"/>
    <x v="9"/>
    <x v="94"/>
  </r>
  <r>
    <n v="187"/>
    <x v="8"/>
    <n v="1"/>
    <x v="1"/>
    <x v="0"/>
    <x v="1"/>
    <x v="0"/>
    <n v="0.1"/>
    <n v="186"/>
    <n v="6.0600000000000001E-2"/>
    <n v="0.42"/>
    <x v="17"/>
    <x v="3"/>
    <x v="98"/>
    <x v="47"/>
  </r>
  <r>
    <n v="188"/>
    <x v="8"/>
    <n v="1"/>
    <x v="2"/>
    <x v="0"/>
    <x v="1"/>
    <x v="0"/>
    <n v="0.1"/>
    <n v="187"/>
    <n v="6.0600000000000001E-2"/>
    <n v="0.46"/>
    <x v="17"/>
    <x v="3"/>
    <x v="48"/>
    <x v="62"/>
  </r>
  <r>
    <n v="189"/>
    <x v="8"/>
    <n v="1"/>
    <x v="3"/>
    <x v="0"/>
    <x v="1"/>
    <x v="0"/>
    <n v="0.1"/>
    <n v="188"/>
    <n v="7.5800000000000006E-2"/>
    <n v="0.46"/>
    <x v="12"/>
    <x v="3"/>
    <x v="22"/>
    <x v="48"/>
  </r>
  <r>
    <n v="190"/>
    <x v="8"/>
    <n v="1"/>
    <x v="4"/>
    <x v="0"/>
    <x v="1"/>
    <x v="0"/>
    <n v="0.08"/>
    <n v="189"/>
    <n v="9.0899999999999995E-2"/>
    <n v="0.53"/>
    <x v="5"/>
    <x v="3"/>
    <x v="4"/>
    <x v="4"/>
  </r>
  <r>
    <n v="191"/>
    <x v="8"/>
    <n v="1"/>
    <x v="5"/>
    <x v="0"/>
    <x v="1"/>
    <x v="0"/>
    <n v="0.08"/>
    <n v="190"/>
    <n v="9.0899999999999995E-2"/>
    <n v="0.53"/>
    <x v="5"/>
    <x v="3"/>
    <x v="4"/>
    <x v="4"/>
  </r>
  <r>
    <n v="192"/>
    <x v="8"/>
    <n v="1"/>
    <x v="6"/>
    <x v="0"/>
    <x v="1"/>
    <x v="0"/>
    <n v="0.1"/>
    <n v="191"/>
    <n v="9.0899999999999995E-2"/>
    <n v="0.49"/>
    <x v="3"/>
    <x v="3"/>
    <x v="4"/>
    <x v="4"/>
  </r>
  <r>
    <n v="193"/>
    <x v="8"/>
    <n v="1"/>
    <x v="7"/>
    <x v="0"/>
    <x v="1"/>
    <x v="0"/>
    <n v="0.08"/>
    <n v="192"/>
    <n v="9.0899999999999995E-2"/>
    <n v="0.53"/>
    <x v="5"/>
    <x v="5"/>
    <x v="34"/>
    <x v="24"/>
  </r>
  <r>
    <n v="194"/>
    <x v="8"/>
    <n v="1"/>
    <x v="8"/>
    <x v="0"/>
    <x v="1"/>
    <x v="0"/>
    <n v="0.1"/>
    <n v="193"/>
    <n v="9.0899999999999995E-2"/>
    <n v="0.49"/>
    <x v="3"/>
    <x v="3"/>
    <x v="3"/>
    <x v="98"/>
  </r>
  <r>
    <n v="195"/>
    <x v="8"/>
    <n v="1"/>
    <x v="9"/>
    <x v="0"/>
    <x v="1"/>
    <x v="0"/>
    <n v="0.12"/>
    <n v="194"/>
    <n v="7.5800000000000006E-2"/>
    <n v="0.46"/>
    <x v="18"/>
    <x v="3"/>
    <x v="23"/>
    <x v="75"/>
  </r>
  <r>
    <n v="196"/>
    <x v="8"/>
    <n v="1"/>
    <x v="10"/>
    <x v="0"/>
    <x v="1"/>
    <x v="0"/>
    <n v="0.14000000000000001"/>
    <n v="195"/>
    <n v="0.1061"/>
    <n v="0.43"/>
    <x v="13"/>
    <x v="3"/>
    <x v="47"/>
    <x v="99"/>
  </r>
  <r>
    <n v="197"/>
    <x v="8"/>
    <n v="1"/>
    <x v="11"/>
    <x v="0"/>
    <x v="1"/>
    <x v="0"/>
    <n v="0.16"/>
    <n v="196"/>
    <n v="0.1212"/>
    <n v="0.4"/>
    <x v="18"/>
    <x v="4"/>
    <x v="12"/>
    <x v="99"/>
  </r>
  <r>
    <n v="198"/>
    <x v="8"/>
    <n v="1"/>
    <x v="12"/>
    <x v="0"/>
    <x v="1"/>
    <x v="0"/>
    <n v="0.18"/>
    <n v="197"/>
    <n v="0.13639999999999999"/>
    <n v="0.37"/>
    <x v="10"/>
    <x v="17"/>
    <x v="55"/>
    <x v="56"/>
  </r>
  <r>
    <n v="199"/>
    <x v="8"/>
    <n v="1"/>
    <x v="13"/>
    <x v="0"/>
    <x v="1"/>
    <x v="0"/>
    <n v="0.2"/>
    <n v="198"/>
    <n v="0.16669999999999999"/>
    <n v="0.34"/>
    <x v="10"/>
    <x v="15"/>
    <x v="94"/>
    <x v="28"/>
  </r>
  <r>
    <n v="200"/>
    <x v="8"/>
    <n v="1"/>
    <x v="14"/>
    <x v="0"/>
    <x v="1"/>
    <x v="0"/>
    <n v="0.22"/>
    <n v="199"/>
    <n v="0.18179999999999999"/>
    <n v="0.32"/>
    <x v="17"/>
    <x v="1"/>
    <x v="27"/>
    <x v="44"/>
  </r>
  <r>
    <n v="201"/>
    <x v="8"/>
    <n v="1"/>
    <x v="15"/>
    <x v="0"/>
    <x v="1"/>
    <x v="0"/>
    <n v="0.22"/>
    <n v="200"/>
    <n v="0.19700000000000001"/>
    <n v="0.35"/>
    <x v="11"/>
    <x v="2"/>
    <x v="99"/>
    <x v="100"/>
  </r>
  <r>
    <n v="202"/>
    <x v="8"/>
    <n v="1"/>
    <x v="16"/>
    <x v="0"/>
    <x v="1"/>
    <x v="0"/>
    <n v="0.2"/>
    <n v="201"/>
    <n v="0.16669999999999999"/>
    <n v="0.34"/>
    <x v="10"/>
    <x v="23"/>
    <x v="55"/>
    <x v="101"/>
  </r>
  <r>
    <n v="203"/>
    <x v="8"/>
    <n v="1"/>
    <x v="17"/>
    <x v="0"/>
    <x v="1"/>
    <x v="0"/>
    <n v="0.18"/>
    <n v="202"/>
    <n v="0.1515"/>
    <n v="0.37"/>
    <x v="13"/>
    <x v="0"/>
    <x v="79"/>
    <x v="69"/>
  </r>
  <r>
    <n v="204"/>
    <x v="8"/>
    <n v="1"/>
    <x v="18"/>
    <x v="0"/>
    <x v="1"/>
    <x v="0"/>
    <n v="0.16"/>
    <n v="203"/>
    <n v="0.13639999999999999"/>
    <n v="0.4"/>
    <x v="9"/>
    <x v="17"/>
    <x v="100"/>
    <x v="61"/>
  </r>
  <r>
    <n v="205"/>
    <x v="8"/>
    <n v="1"/>
    <x v="19"/>
    <x v="0"/>
    <x v="1"/>
    <x v="0"/>
    <n v="0.16"/>
    <n v="204"/>
    <n v="0.13639999999999999"/>
    <n v="0.43"/>
    <x v="9"/>
    <x v="5"/>
    <x v="71"/>
    <x v="102"/>
  </r>
  <r>
    <n v="206"/>
    <x v="8"/>
    <n v="1"/>
    <x v="20"/>
    <x v="0"/>
    <x v="1"/>
    <x v="0"/>
    <n v="0.14000000000000001"/>
    <n v="205"/>
    <n v="0.1212"/>
    <n v="0.46"/>
    <x v="2"/>
    <x v="3"/>
    <x v="101"/>
    <x v="103"/>
  </r>
  <r>
    <n v="207"/>
    <x v="8"/>
    <n v="1"/>
    <x v="21"/>
    <x v="0"/>
    <x v="1"/>
    <x v="0"/>
    <n v="0.14000000000000001"/>
    <n v="206"/>
    <n v="0.1061"/>
    <n v="0.46"/>
    <x v="12"/>
    <x v="5"/>
    <x v="23"/>
    <x v="25"/>
  </r>
  <r>
    <n v="208"/>
    <x v="8"/>
    <n v="1"/>
    <x v="22"/>
    <x v="0"/>
    <x v="1"/>
    <x v="0"/>
    <n v="0.14000000000000001"/>
    <n v="207"/>
    <n v="0.1212"/>
    <n v="0.46"/>
    <x v="4"/>
    <x v="2"/>
    <x v="3"/>
    <x v="93"/>
  </r>
  <r>
    <n v="209"/>
    <x v="8"/>
    <n v="1"/>
    <x v="23"/>
    <x v="0"/>
    <x v="1"/>
    <x v="0"/>
    <n v="0.12"/>
    <n v="208"/>
    <n v="0.13639999999999999"/>
    <n v="0.5"/>
    <x v="5"/>
    <x v="3"/>
    <x v="8"/>
    <x v="24"/>
  </r>
  <r>
    <n v="210"/>
    <x v="9"/>
    <n v="1"/>
    <x v="0"/>
    <x v="0"/>
    <x v="2"/>
    <x v="0"/>
    <n v="0.12"/>
    <n v="209"/>
    <n v="0.1212"/>
    <n v="0.5"/>
    <x v="3"/>
    <x v="4"/>
    <x v="35"/>
    <x v="36"/>
  </r>
  <r>
    <n v="211"/>
    <x v="9"/>
    <n v="1"/>
    <x v="1"/>
    <x v="0"/>
    <x v="2"/>
    <x v="0"/>
    <n v="0.12"/>
    <n v="210"/>
    <n v="0.1212"/>
    <n v="0.5"/>
    <x v="3"/>
    <x v="5"/>
    <x v="5"/>
    <x v="4"/>
  </r>
  <r>
    <n v="212"/>
    <x v="9"/>
    <n v="1"/>
    <x v="2"/>
    <x v="0"/>
    <x v="2"/>
    <x v="0"/>
    <n v="0.12"/>
    <n v="211"/>
    <n v="0.1212"/>
    <n v="0.5"/>
    <x v="6"/>
    <x v="3"/>
    <x v="35"/>
    <x v="6"/>
  </r>
  <r>
    <n v="213"/>
    <x v="9"/>
    <n v="1"/>
    <x v="3"/>
    <x v="0"/>
    <x v="2"/>
    <x v="0"/>
    <n v="0.12"/>
    <n v="212"/>
    <n v="0.1212"/>
    <n v="0.5"/>
    <x v="6"/>
    <x v="3"/>
    <x v="4"/>
    <x v="4"/>
  </r>
  <r>
    <n v="214"/>
    <x v="9"/>
    <n v="1"/>
    <x v="4"/>
    <x v="0"/>
    <x v="2"/>
    <x v="0"/>
    <n v="0.1"/>
    <n v="213"/>
    <n v="0.1212"/>
    <n v="0.54"/>
    <x v="7"/>
    <x v="5"/>
    <x v="6"/>
    <x v="6"/>
  </r>
  <r>
    <n v="215"/>
    <x v="9"/>
    <n v="1"/>
    <x v="5"/>
    <x v="0"/>
    <x v="2"/>
    <x v="0"/>
    <n v="0.1"/>
    <n v="214"/>
    <n v="0.1061"/>
    <n v="0.54"/>
    <x v="2"/>
    <x v="3"/>
    <x v="35"/>
    <x v="6"/>
  </r>
  <r>
    <n v="216"/>
    <x v="9"/>
    <n v="1"/>
    <x v="6"/>
    <x v="0"/>
    <x v="2"/>
    <x v="0"/>
    <n v="0.12"/>
    <n v="215"/>
    <n v="0.1212"/>
    <n v="0.5"/>
    <x v="3"/>
    <x v="3"/>
    <x v="17"/>
    <x v="35"/>
  </r>
  <r>
    <n v="217"/>
    <x v="9"/>
    <n v="1"/>
    <x v="7"/>
    <x v="0"/>
    <x v="2"/>
    <x v="0"/>
    <n v="0.12"/>
    <n v="216"/>
    <n v="0.1212"/>
    <n v="0.5"/>
    <x v="6"/>
    <x v="4"/>
    <x v="102"/>
    <x v="43"/>
  </r>
  <r>
    <n v="218"/>
    <x v="9"/>
    <n v="1"/>
    <x v="8"/>
    <x v="0"/>
    <x v="2"/>
    <x v="1"/>
    <n v="0.12"/>
    <n v="217"/>
    <n v="0.1212"/>
    <n v="0.5"/>
    <x v="3"/>
    <x v="17"/>
    <x v="103"/>
    <x v="104"/>
  </r>
  <r>
    <n v="219"/>
    <x v="9"/>
    <n v="1"/>
    <x v="9"/>
    <x v="0"/>
    <x v="2"/>
    <x v="1"/>
    <n v="0.14000000000000001"/>
    <n v="218"/>
    <n v="0.1212"/>
    <n v="0.5"/>
    <x v="2"/>
    <x v="4"/>
    <x v="50"/>
    <x v="12"/>
  </r>
  <r>
    <n v="220"/>
    <x v="9"/>
    <n v="1"/>
    <x v="10"/>
    <x v="0"/>
    <x v="2"/>
    <x v="1"/>
    <n v="0.14000000000000001"/>
    <n v="219"/>
    <n v="0.1212"/>
    <n v="0.5"/>
    <x v="4"/>
    <x v="3"/>
    <x v="17"/>
    <x v="35"/>
  </r>
  <r>
    <n v="221"/>
    <x v="9"/>
    <n v="1"/>
    <x v="11"/>
    <x v="0"/>
    <x v="2"/>
    <x v="1"/>
    <n v="0.16"/>
    <n v="220"/>
    <n v="0.13639999999999999"/>
    <n v="0.47"/>
    <x v="3"/>
    <x v="4"/>
    <x v="95"/>
    <x v="33"/>
  </r>
  <r>
    <n v="222"/>
    <x v="9"/>
    <n v="1"/>
    <x v="12"/>
    <x v="0"/>
    <x v="2"/>
    <x v="1"/>
    <n v="0.2"/>
    <n v="221"/>
    <n v="0.18179999999999999"/>
    <n v="0.4"/>
    <x v="3"/>
    <x v="2"/>
    <x v="12"/>
    <x v="46"/>
  </r>
  <r>
    <n v="223"/>
    <x v="9"/>
    <n v="1"/>
    <x v="13"/>
    <x v="0"/>
    <x v="2"/>
    <x v="1"/>
    <n v="0.2"/>
    <n v="222"/>
    <n v="0.18179999999999999"/>
    <n v="0.4"/>
    <x v="3"/>
    <x v="17"/>
    <x v="54"/>
    <x v="60"/>
  </r>
  <r>
    <n v="224"/>
    <x v="9"/>
    <n v="1"/>
    <x v="14"/>
    <x v="0"/>
    <x v="2"/>
    <x v="1"/>
    <n v="0.2"/>
    <n v="223"/>
    <n v="0.19700000000000001"/>
    <n v="0.4"/>
    <x v="6"/>
    <x v="3"/>
    <x v="12"/>
    <x v="105"/>
  </r>
  <r>
    <n v="225"/>
    <x v="9"/>
    <n v="1"/>
    <x v="15"/>
    <x v="0"/>
    <x v="2"/>
    <x v="1"/>
    <n v="0.2"/>
    <n v="224"/>
    <n v="0.19700000000000001"/>
    <n v="0.4"/>
    <x v="6"/>
    <x v="4"/>
    <x v="30"/>
    <x v="79"/>
  </r>
  <r>
    <n v="226"/>
    <x v="9"/>
    <n v="1"/>
    <x v="16"/>
    <x v="0"/>
    <x v="2"/>
    <x v="0"/>
    <n v="0.2"/>
    <n v="225"/>
    <n v="0.21210000000000001"/>
    <n v="0.4"/>
    <x v="7"/>
    <x v="17"/>
    <x v="14"/>
    <x v="30"/>
  </r>
  <r>
    <n v="227"/>
    <x v="9"/>
    <n v="1"/>
    <x v="17"/>
    <x v="0"/>
    <x v="2"/>
    <x v="0"/>
    <n v="0.2"/>
    <n v="226"/>
    <n v="0.2273"/>
    <n v="0.4"/>
    <x v="14"/>
    <x v="17"/>
    <x v="104"/>
    <x v="106"/>
  </r>
  <r>
    <n v="228"/>
    <x v="9"/>
    <n v="1"/>
    <x v="18"/>
    <x v="0"/>
    <x v="2"/>
    <x v="0"/>
    <n v="0.2"/>
    <n v="227"/>
    <n v="0.19700000000000001"/>
    <n v="0.4"/>
    <x v="6"/>
    <x v="5"/>
    <x v="105"/>
    <x v="107"/>
  </r>
  <r>
    <n v="229"/>
    <x v="9"/>
    <n v="1"/>
    <x v="19"/>
    <x v="0"/>
    <x v="2"/>
    <x v="0"/>
    <n v="0.16"/>
    <n v="228"/>
    <n v="0.16669999999999999"/>
    <n v="0.47"/>
    <x v="8"/>
    <x v="0"/>
    <x v="50"/>
    <x v="76"/>
  </r>
  <r>
    <n v="230"/>
    <x v="9"/>
    <n v="1"/>
    <x v="20"/>
    <x v="0"/>
    <x v="2"/>
    <x v="0"/>
    <n v="0.16"/>
    <n v="229"/>
    <n v="0.16669999999999999"/>
    <n v="0.5"/>
    <x v="8"/>
    <x v="5"/>
    <x v="26"/>
    <x v="30"/>
  </r>
  <r>
    <n v="231"/>
    <x v="9"/>
    <n v="1"/>
    <x v="21"/>
    <x v="0"/>
    <x v="2"/>
    <x v="0"/>
    <n v="0.14000000000000001"/>
    <n v="230"/>
    <n v="0.13639999999999999"/>
    <n v="0.59"/>
    <x v="5"/>
    <x v="5"/>
    <x v="53"/>
    <x v="103"/>
  </r>
  <r>
    <n v="232"/>
    <x v="9"/>
    <n v="1"/>
    <x v="22"/>
    <x v="0"/>
    <x v="2"/>
    <x v="0"/>
    <n v="0.14000000000000001"/>
    <n v="231"/>
    <n v="0.1515"/>
    <n v="0.59"/>
    <x v="8"/>
    <x v="4"/>
    <x v="97"/>
    <x v="108"/>
  </r>
  <r>
    <n v="233"/>
    <x v="9"/>
    <n v="1"/>
    <x v="23"/>
    <x v="0"/>
    <x v="2"/>
    <x v="0"/>
    <n v="0.14000000000000001"/>
    <n v="232"/>
    <n v="0.1515"/>
    <n v="0.59"/>
    <x v="8"/>
    <x v="3"/>
    <x v="72"/>
    <x v="109"/>
  </r>
  <r>
    <n v="234"/>
    <x v="10"/>
    <n v="1"/>
    <x v="0"/>
    <x v="0"/>
    <x v="3"/>
    <x v="0"/>
    <n v="0.14000000000000001"/>
    <n v="233"/>
    <n v="0.16669999999999999"/>
    <n v="0.59"/>
    <x v="14"/>
    <x v="4"/>
    <x v="3"/>
    <x v="47"/>
  </r>
  <r>
    <n v="235"/>
    <x v="10"/>
    <n v="1"/>
    <x v="1"/>
    <x v="0"/>
    <x v="3"/>
    <x v="0"/>
    <n v="0.14000000000000001"/>
    <n v="234"/>
    <n v="0.1515"/>
    <n v="0.59"/>
    <x v="8"/>
    <x v="3"/>
    <x v="35"/>
    <x v="6"/>
  </r>
  <r>
    <n v="236"/>
    <x v="10"/>
    <n v="1"/>
    <x v="2"/>
    <x v="0"/>
    <x v="3"/>
    <x v="1"/>
    <n v="0.16"/>
    <n v="235"/>
    <n v="0.1515"/>
    <n v="0.55000000000000004"/>
    <x v="5"/>
    <x v="3"/>
    <x v="35"/>
    <x v="6"/>
  </r>
  <r>
    <n v="237"/>
    <x v="10"/>
    <n v="1"/>
    <x v="5"/>
    <x v="0"/>
    <x v="3"/>
    <x v="1"/>
    <n v="0.16"/>
    <n v="236"/>
    <n v="0.18179999999999999"/>
    <n v="0.55000000000000004"/>
    <x v="7"/>
    <x v="3"/>
    <x v="8"/>
    <x v="24"/>
  </r>
  <r>
    <n v="238"/>
    <x v="10"/>
    <n v="1"/>
    <x v="6"/>
    <x v="0"/>
    <x v="3"/>
    <x v="1"/>
    <n v="0.16"/>
    <n v="237"/>
    <n v="0.18179999999999999"/>
    <n v="0.55000000000000004"/>
    <x v="7"/>
    <x v="3"/>
    <x v="2"/>
    <x v="110"/>
  </r>
  <r>
    <n v="239"/>
    <x v="10"/>
    <n v="1"/>
    <x v="7"/>
    <x v="0"/>
    <x v="3"/>
    <x v="1"/>
    <n v="0.16"/>
    <n v="238"/>
    <n v="0.2273"/>
    <n v="0.55000000000000004"/>
    <x v="0"/>
    <x v="4"/>
    <x v="106"/>
    <x v="111"/>
  </r>
  <r>
    <n v="240"/>
    <x v="10"/>
    <n v="1"/>
    <x v="8"/>
    <x v="0"/>
    <x v="3"/>
    <x v="1"/>
    <n v="0.18"/>
    <n v="239"/>
    <n v="0.21210000000000001"/>
    <n v="0.51"/>
    <x v="1"/>
    <x v="0"/>
    <x v="107"/>
    <x v="112"/>
  </r>
  <r>
    <n v="241"/>
    <x v="10"/>
    <n v="1"/>
    <x v="9"/>
    <x v="0"/>
    <x v="3"/>
    <x v="1"/>
    <n v="0.18"/>
    <n v="240"/>
    <n v="0.19700000000000001"/>
    <n v="0.51"/>
    <x v="8"/>
    <x v="0"/>
    <x v="69"/>
    <x v="113"/>
  </r>
  <r>
    <n v="242"/>
    <x v="10"/>
    <n v="1"/>
    <x v="10"/>
    <x v="0"/>
    <x v="3"/>
    <x v="1"/>
    <n v="0.2"/>
    <n v="241"/>
    <n v="0.21210000000000001"/>
    <n v="0.51"/>
    <x v="8"/>
    <x v="0"/>
    <x v="82"/>
    <x v="60"/>
  </r>
  <r>
    <n v="243"/>
    <x v="10"/>
    <n v="1"/>
    <x v="11"/>
    <x v="0"/>
    <x v="3"/>
    <x v="1"/>
    <n v="0.2"/>
    <n v="242"/>
    <n v="0.21210000000000001"/>
    <n v="0.47"/>
    <x v="7"/>
    <x v="17"/>
    <x v="17"/>
    <x v="17"/>
  </r>
  <r>
    <n v="244"/>
    <x v="10"/>
    <n v="1"/>
    <x v="12"/>
    <x v="0"/>
    <x v="3"/>
    <x v="1"/>
    <n v="0.2"/>
    <n v="243"/>
    <n v="0.2273"/>
    <n v="0.51"/>
    <x v="14"/>
    <x v="4"/>
    <x v="11"/>
    <x v="52"/>
  </r>
  <r>
    <n v="245"/>
    <x v="10"/>
    <n v="1"/>
    <x v="13"/>
    <x v="0"/>
    <x v="3"/>
    <x v="1"/>
    <n v="0.2"/>
    <n v="244"/>
    <n v="0.2273"/>
    <n v="0.59"/>
    <x v="1"/>
    <x v="15"/>
    <x v="24"/>
    <x v="46"/>
  </r>
  <r>
    <n v="246"/>
    <x v="10"/>
    <n v="1"/>
    <x v="14"/>
    <x v="0"/>
    <x v="3"/>
    <x v="1"/>
    <n v="0.2"/>
    <n v="245"/>
    <n v="0.2273"/>
    <n v="0.59"/>
    <x v="1"/>
    <x v="0"/>
    <x v="91"/>
    <x v="55"/>
  </r>
  <r>
    <n v="247"/>
    <x v="10"/>
    <n v="1"/>
    <x v="15"/>
    <x v="0"/>
    <x v="3"/>
    <x v="1"/>
    <n v="0.16"/>
    <n v="246"/>
    <n v="0.19700000000000001"/>
    <n v="0.8"/>
    <x v="1"/>
    <x v="4"/>
    <x v="108"/>
    <x v="105"/>
  </r>
  <r>
    <n v="248"/>
    <x v="10"/>
    <n v="1"/>
    <x v="16"/>
    <x v="0"/>
    <x v="3"/>
    <x v="1"/>
    <n v="0.16"/>
    <n v="247"/>
    <n v="0.1515"/>
    <n v="0.86"/>
    <x v="6"/>
    <x v="17"/>
    <x v="109"/>
    <x v="31"/>
  </r>
  <r>
    <n v="249"/>
    <x v="10"/>
    <n v="1"/>
    <x v="17"/>
    <x v="0"/>
    <x v="3"/>
    <x v="1"/>
    <n v="0.16"/>
    <n v="248"/>
    <n v="0.1515"/>
    <n v="0.86"/>
    <x v="6"/>
    <x v="15"/>
    <x v="110"/>
    <x v="114"/>
  </r>
  <r>
    <n v="250"/>
    <x v="10"/>
    <n v="1"/>
    <x v="18"/>
    <x v="0"/>
    <x v="3"/>
    <x v="2"/>
    <n v="0.16"/>
    <n v="249"/>
    <n v="0.18179999999999999"/>
    <n v="0.93"/>
    <x v="14"/>
    <x v="5"/>
    <x v="111"/>
    <x v="76"/>
  </r>
  <r>
    <n v="251"/>
    <x v="10"/>
    <n v="1"/>
    <x v="19"/>
    <x v="0"/>
    <x v="3"/>
    <x v="2"/>
    <n v="0.16"/>
    <n v="250"/>
    <n v="0.2273"/>
    <n v="0.93"/>
    <x v="0"/>
    <x v="3"/>
    <x v="82"/>
    <x v="41"/>
  </r>
  <r>
    <n v="252"/>
    <x v="10"/>
    <n v="1"/>
    <x v="20"/>
    <x v="0"/>
    <x v="3"/>
    <x v="2"/>
    <n v="0.16"/>
    <n v="251"/>
    <n v="0.1515"/>
    <n v="0.93"/>
    <x v="5"/>
    <x v="3"/>
    <x v="1"/>
    <x v="2"/>
  </r>
  <r>
    <n v="253"/>
    <x v="10"/>
    <n v="1"/>
    <x v="21"/>
    <x v="0"/>
    <x v="3"/>
    <x v="2"/>
    <n v="0.16"/>
    <n v="252"/>
    <n v="0.19700000000000001"/>
    <n v="0.86"/>
    <x v="1"/>
    <x v="3"/>
    <x v="32"/>
    <x v="25"/>
  </r>
  <r>
    <n v="254"/>
    <x v="10"/>
    <n v="1"/>
    <x v="22"/>
    <x v="0"/>
    <x v="3"/>
    <x v="2"/>
    <n v="0.16"/>
    <n v="253"/>
    <n v="0.18179999999999999"/>
    <n v="0.93"/>
    <x v="14"/>
    <x v="5"/>
    <x v="95"/>
    <x v="115"/>
  </r>
  <r>
    <n v="255"/>
    <x v="10"/>
    <n v="1"/>
    <x v="23"/>
    <x v="0"/>
    <x v="3"/>
    <x v="2"/>
    <n v="0.16"/>
    <n v="254"/>
    <n v="0.19700000000000001"/>
    <n v="0.93"/>
    <x v="1"/>
    <x v="5"/>
    <x v="72"/>
    <x v="75"/>
  </r>
  <r>
    <n v="256"/>
    <x v="11"/>
    <n v="1"/>
    <x v="0"/>
    <x v="0"/>
    <x v="4"/>
    <x v="1"/>
    <n v="0.16"/>
    <n v="255"/>
    <n v="0.19700000000000001"/>
    <n v="0.86"/>
    <x v="1"/>
    <x v="3"/>
    <x v="7"/>
    <x v="85"/>
  </r>
  <r>
    <n v="257"/>
    <x v="11"/>
    <n v="1"/>
    <x v="1"/>
    <x v="0"/>
    <x v="4"/>
    <x v="1"/>
    <n v="0.16"/>
    <n v="256"/>
    <n v="0.18179999999999999"/>
    <n v="0.86"/>
    <x v="14"/>
    <x v="3"/>
    <x v="8"/>
    <x v="24"/>
  </r>
  <r>
    <n v="258"/>
    <x v="11"/>
    <n v="1"/>
    <x v="2"/>
    <x v="0"/>
    <x v="4"/>
    <x v="0"/>
    <n v="0.14000000000000001"/>
    <n v="257"/>
    <n v="0.1515"/>
    <n v="0.86"/>
    <x v="7"/>
    <x v="3"/>
    <x v="4"/>
    <x v="4"/>
  </r>
  <r>
    <n v="259"/>
    <x v="11"/>
    <n v="1"/>
    <x v="5"/>
    <x v="0"/>
    <x v="4"/>
    <x v="0"/>
    <n v="0.14000000000000001"/>
    <n v="258"/>
    <n v="0.1515"/>
    <n v="0.86"/>
    <x v="8"/>
    <x v="3"/>
    <x v="34"/>
    <x v="36"/>
  </r>
  <r>
    <n v="260"/>
    <x v="11"/>
    <n v="1"/>
    <x v="6"/>
    <x v="0"/>
    <x v="4"/>
    <x v="0"/>
    <n v="0.12"/>
    <n v="259"/>
    <n v="0.1515"/>
    <n v="0.93"/>
    <x v="7"/>
    <x v="3"/>
    <x v="20"/>
    <x v="0"/>
  </r>
  <r>
    <n v="261"/>
    <x v="11"/>
    <n v="1"/>
    <x v="7"/>
    <x v="0"/>
    <x v="4"/>
    <x v="0"/>
    <n v="0.14000000000000001"/>
    <n v="260"/>
    <n v="0.1515"/>
    <n v="0.69"/>
    <x v="7"/>
    <x v="3"/>
    <x v="25"/>
    <x v="60"/>
  </r>
  <r>
    <n v="262"/>
    <x v="11"/>
    <n v="1"/>
    <x v="8"/>
    <x v="0"/>
    <x v="4"/>
    <x v="0"/>
    <n v="0.16"/>
    <n v="261"/>
    <n v="0.16669999999999999"/>
    <n v="0.59"/>
    <x v="8"/>
    <x v="0"/>
    <x v="85"/>
    <x v="116"/>
  </r>
  <r>
    <n v="263"/>
    <x v="11"/>
    <n v="1"/>
    <x v="9"/>
    <x v="0"/>
    <x v="4"/>
    <x v="0"/>
    <n v="0.16"/>
    <n v="262"/>
    <n v="0.13639999999999999"/>
    <n v="0.59"/>
    <x v="9"/>
    <x v="0"/>
    <x v="78"/>
    <x v="117"/>
  </r>
  <r>
    <n v="264"/>
    <x v="11"/>
    <n v="1"/>
    <x v="10"/>
    <x v="0"/>
    <x v="4"/>
    <x v="0"/>
    <n v="0.18"/>
    <n v="263"/>
    <n v="0.18179999999999999"/>
    <n v="0.55000000000000004"/>
    <x v="6"/>
    <x v="3"/>
    <x v="87"/>
    <x v="21"/>
  </r>
  <r>
    <n v="265"/>
    <x v="11"/>
    <n v="1"/>
    <x v="11"/>
    <x v="0"/>
    <x v="4"/>
    <x v="0"/>
    <n v="0.2"/>
    <n v="264"/>
    <n v="0.18179999999999999"/>
    <n v="0.51"/>
    <x v="13"/>
    <x v="0"/>
    <x v="1"/>
    <x v="17"/>
  </r>
  <r>
    <n v="266"/>
    <x v="11"/>
    <n v="1"/>
    <x v="12"/>
    <x v="0"/>
    <x v="4"/>
    <x v="0"/>
    <n v="0.2"/>
    <n v="265"/>
    <n v="0.1515"/>
    <n v="0.47"/>
    <x v="19"/>
    <x v="0"/>
    <x v="15"/>
    <x v="97"/>
  </r>
  <r>
    <n v="267"/>
    <x v="11"/>
    <n v="1"/>
    <x v="13"/>
    <x v="0"/>
    <x v="4"/>
    <x v="0"/>
    <n v="0.22"/>
    <n v="266"/>
    <n v="0.19700000000000001"/>
    <n v="0.44"/>
    <x v="11"/>
    <x v="3"/>
    <x v="47"/>
    <x v="99"/>
  </r>
  <r>
    <n v="268"/>
    <x v="11"/>
    <n v="1"/>
    <x v="14"/>
    <x v="0"/>
    <x v="4"/>
    <x v="0"/>
    <n v="0.2"/>
    <n v="267"/>
    <n v="0.18179999999999999"/>
    <n v="0.47"/>
    <x v="9"/>
    <x v="3"/>
    <x v="100"/>
    <x v="40"/>
  </r>
  <r>
    <n v="269"/>
    <x v="11"/>
    <n v="1"/>
    <x v="15"/>
    <x v="0"/>
    <x v="4"/>
    <x v="0"/>
    <n v="0.2"/>
    <n v="268"/>
    <n v="0.16669999999999999"/>
    <n v="0.47"/>
    <x v="12"/>
    <x v="5"/>
    <x v="41"/>
    <x v="99"/>
  </r>
  <r>
    <n v="270"/>
    <x v="11"/>
    <n v="1"/>
    <x v="16"/>
    <x v="0"/>
    <x v="4"/>
    <x v="0"/>
    <n v="0.22"/>
    <n v="269"/>
    <n v="0.19700000000000001"/>
    <n v="0.44"/>
    <x v="9"/>
    <x v="2"/>
    <x v="36"/>
    <x v="118"/>
  </r>
  <r>
    <n v="271"/>
    <x v="11"/>
    <n v="1"/>
    <x v="17"/>
    <x v="0"/>
    <x v="4"/>
    <x v="0"/>
    <n v="0.2"/>
    <n v="270"/>
    <n v="0.18179999999999999"/>
    <n v="0.47"/>
    <x v="11"/>
    <x v="3"/>
    <x v="112"/>
    <x v="119"/>
  </r>
  <r>
    <n v="272"/>
    <x v="11"/>
    <n v="1"/>
    <x v="18"/>
    <x v="0"/>
    <x v="4"/>
    <x v="0"/>
    <n v="0.2"/>
    <n v="271"/>
    <n v="0.1515"/>
    <n v="0.47"/>
    <x v="18"/>
    <x v="4"/>
    <x v="113"/>
    <x v="120"/>
  </r>
  <r>
    <n v="273"/>
    <x v="11"/>
    <n v="1"/>
    <x v="19"/>
    <x v="0"/>
    <x v="4"/>
    <x v="0"/>
    <n v="0.18"/>
    <n v="272"/>
    <n v="0.1515"/>
    <n v="0.47"/>
    <x v="12"/>
    <x v="5"/>
    <x v="70"/>
    <x v="56"/>
  </r>
  <r>
    <n v="274"/>
    <x v="11"/>
    <n v="1"/>
    <x v="20"/>
    <x v="0"/>
    <x v="4"/>
    <x v="0"/>
    <n v="0.16"/>
    <n v="273"/>
    <n v="0.13639999999999999"/>
    <n v="0.5"/>
    <x v="9"/>
    <x v="4"/>
    <x v="25"/>
    <x v="10"/>
  </r>
  <r>
    <n v="275"/>
    <x v="11"/>
    <n v="1"/>
    <x v="21"/>
    <x v="0"/>
    <x v="4"/>
    <x v="0"/>
    <n v="0.16"/>
    <n v="274"/>
    <n v="0.13639999999999999"/>
    <n v="0.55000000000000004"/>
    <x v="9"/>
    <x v="3"/>
    <x v="77"/>
    <x v="52"/>
  </r>
  <r>
    <n v="276"/>
    <x v="11"/>
    <n v="1"/>
    <x v="22"/>
    <x v="0"/>
    <x v="4"/>
    <x v="0"/>
    <n v="0.16"/>
    <n v="275"/>
    <n v="0.1212"/>
    <n v="0.55000000000000004"/>
    <x v="10"/>
    <x v="5"/>
    <x v="1"/>
    <x v="63"/>
  </r>
  <r>
    <n v="277"/>
    <x v="11"/>
    <n v="1"/>
    <x v="23"/>
    <x v="0"/>
    <x v="4"/>
    <x v="0"/>
    <n v="0.14000000000000001"/>
    <n v="276"/>
    <n v="0.1061"/>
    <n v="0.59"/>
    <x v="12"/>
    <x v="5"/>
    <x v="23"/>
    <x v="25"/>
  </r>
  <r>
    <n v="278"/>
    <x v="12"/>
    <n v="1"/>
    <x v="0"/>
    <x v="0"/>
    <x v="5"/>
    <x v="0"/>
    <n v="0.14000000000000001"/>
    <n v="277"/>
    <n v="0.1212"/>
    <n v="0.59"/>
    <x v="3"/>
    <x v="5"/>
    <x v="8"/>
    <x v="85"/>
  </r>
  <r>
    <n v="279"/>
    <x v="12"/>
    <n v="1"/>
    <x v="1"/>
    <x v="0"/>
    <x v="5"/>
    <x v="0"/>
    <n v="0.14000000000000001"/>
    <n v="278"/>
    <n v="0.1212"/>
    <n v="0.5"/>
    <x v="3"/>
    <x v="3"/>
    <x v="6"/>
    <x v="5"/>
  </r>
  <r>
    <n v="280"/>
    <x v="12"/>
    <n v="1"/>
    <x v="2"/>
    <x v="0"/>
    <x v="5"/>
    <x v="0"/>
    <n v="0.14000000000000001"/>
    <n v="279"/>
    <n v="0.1212"/>
    <n v="0.5"/>
    <x v="11"/>
    <x v="3"/>
    <x v="6"/>
    <x v="5"/>
  </r>
  <r>
    <n v="281"/>
    <x v="12"/>
    <n v="1"/>
    <x v="3"/>
    <x v="0"/>
    <x v="5"/>
    <x v="0"/>
    <n v="0.14000000000000001"/>
    <n v="280"/>
    <n v="0.1212"/>
    <n v="0.5"/>
    <x v="9"/>
    <x v="3"/>
    <x v="35"/>
    <x v="6"/>
  </r>
  <r>
    <n v="282"/>
    <x v="12"/>
    <n v="1"/>
    <x v="4"/>
    <x v="0"/>
    <x v="5"/>
    <x v="0"/>
    <n v="0.14000000000000001"/>
    <n v="281"/>
    <n v="0.1212"/>
    <n v="0.5"/>
    <x v="2"/>
    <x v="3"/>
    <x v="22"/>
    <x v="48"/>
  </r>
  <r>
    <n v="283"/>
    <x v="12"/>
    <n v="1"/>
    <x v="5"/>
    <x v="0"/>
    <x v="5"/>
    <x v="0"/>
    <n v="0.14000000000000001"/>
    <n v="282"/>
    <n v="0.1212"/>
    <n v="0.5"/>
    <x v="4"/>
    <x v="3"/>
    <x v="35"/>
    <x v="6"/>
  </r>
  <r>
    <n v="284"/>
    <x v="12"/>
    <n v="1"/>
    <x v="6"/>
    <x v="0"/>
    <x v="5"/>
    <x v="0"/>
    <n v="0.12"/>
    <n v="283"/>
    <n v="0.1515"/>
    <n v="0.54"/>
    <x v="7"/>
    <x v="3"/>
    <x v="95"/>
    <x v="20"/>
  </r>
  <r>
    <n v="285"/>
    <x v="12"/>
    <n v="1"/>
    <x v="7"/>
    <x v="0"/>
    <x v="5"/>
    <x v="0"/>
    <n v="0.12"/>
    <n v="284"/>
    <n v="0.1515"/>
    <n v="0.54"/>
    <x v="7"/>
    <x v="3"/>
    <x v="109"/>
    <x v="44"/>
  </r>
  <r>
    <n v="286"/>
    <x v="12"/>
    <n v="1"/>
    <x v="8"/>
    <x v="0"/>
    <x v="5"/>
    <x v="0"/>
    <n v="0.14000000000000001"/>
    <n v="285"/>
    <n v="0.13639999999999999"/>
    <n v="0.5"/>
    <x v="5"/>
    <x v="2"/>
    <x v="114"/>
    <x v="121"/>
  </r>
  <r>
    <n v="287"/>
    <x v="12"/>
    <n v="1"/>
    <x v="9"/>
    <x v="0"/>
    <x v="5"/>
    <x v="0"/>
    <n v="0.14000000000000001"/>
    <n v="286"/>
    <n v="0.1212"/>
    <n v="0.5"/>
    <x v="9"/>
    <x v="4"/>
    <x v="115"/>
    <x v="119"/>
  </r>
  <r>
    <n v="288"/>
    <x v="12"/>
    <n v="1"/>
    <x v="10"/>
    <x v="0"/>
    <x v="5"/>
    <x v="1"/>
    <n v="0.16"/>
    <n v="287"/>
    <n v="0.13639999999999999"/>
    <n v="0.5"/>
    <x v="11"/>
    <x v="4"/>
    <x v="49"/>
    <x v="103"/>
  </r>
  <r>
    <n v="289"/>
    <x v="12"/>
    <n v="1"/>
    <x v="11"/>
    <x v="0"/>
    <x v="5"/>
    <x v="1"/>
    <n v="0.2"/>
    <n v="288"/>
    <n v="0.16669999999999999"/>
    <n v="0.44"/>
    <x v="10"/>
    <x v="17"/>
    <x v="39"/>
    <x v="18"/>
  </r>
  <r>
    <n v="290"/>
    <x v="12"/>
    <n v="1"/>
    <x v="12"/>
    <x v="0"/>
    <x v="5"/>
    <x v="0"/>
    <n v="0.2"/>
    <n v="289"/>
    <n v="0.16669999999999999"/>
    <n v="0.44"/>
    <x v="12"/>
    <x v="0"/>
    <x v="47"/>
    <x v="46"/>
  </r>
  <r>
    <n v="291"/>
    <x v="12"/>
    <n v="1"/>
    <x v="13"/>
    <x v="0"/>
    <x v="5"/>
    <x v="0"/>
    <n v="0.22"/>
    <n v="290"/>
    <n v="0.19700000000000001"/>
    <n v="0.41"/>
    <x v="10"/>
    <x v="4"/>
    <x v="38"/>
    <x v="56"/>
  </r>
  <r>
    <n v="292"/>
    <x v="12"/>
    <n v="1"/>
    <x v="14"/>
    <x v="0"/>
    <x v="5"/>
    <x v="0"/>
    <n v="0.22"/>
    <n v="291"/>
    <n v="0.19700000000000001"/>
    <n v="0.41"/>
    <x v="13"/>
    <x v="0"/>
    <x v="87"/>
    <x v="51"/>
  </r>
  <r>
    <n v="293"/>
    <x v="12"/>
    <n v="1"/>
    <x v="15"/>
    <x v="0"/>
    <x v="5"/>
    <x v="0"/>
    <n v="0.24"/>
    <n v="292"/>
    <n v="0.21210000000000001"/>
    <n v="0.38"/>
    <x v="4"/>
    <x v="2"/>
    <x v="11"/>
    <x v="122"/>
  </r>
  <r>
    <n v="294"/>
    <x v="12"/>
    <n v="1"/>
    <x v="16"/>
    <x v="0"/>
    <x v="5"/>
    <x v="0"/>
    <n v="0.24"/>
    <n v="293"/>
    <n v="0.21210000000000001"/>
    <n v="0.38"/>
    <x v="11"/>
    <x v="4"/>
    <x v="83"/>
    <x v="53"/>
  </r>
  <r>
    <n v="295"/>
    <x v="12"/>
    <n v="1"/>
    <x v="17"/>
    <x v="0"/>
    <x v="5"/>
    <x v="0"/>
    <n v="0.2"/>
    <n v="294"/>
    <n v="0.18179999999999999"/>
    <n v="0.4"/>
    <x v="3"/>
    <x v="17"/>
    <x v="81"/>
    <x v="123"/>
  </r>
  <r>
    <n v="296"/>
    <x v="12"/>
    <n v="1"/>
    <x v="18"/>
    <x v="0"/>
    <x v="5"/>
    <x v="0"/>
    <n v="0.2"/>
    <n v="295"/>
    <n v="0.18179999999999999"/>
    <n v="0.4"/>
    <x v="9"/>
    <x v="0"/>
    <x v="116"/>
    <x v="124"/>
  </r>
  <r>
    <n v="297"/>
    <x v="12"/>
    <n v="1"/>
    <x v="19"/>
    <x v="0"/>
    <x v="5"/>
    <x v="0"/>
    <n v="0.16"/>
    <n v="296"/>
    <n v="0.1515"/>
    <n v="0.47"/>
    <x v="2"/>
    <x v="5"/>
    <x v="52"/>
    <x v="111"/>
  </r>
  <r>
    <n v="298"/>
    <x v="12"/>
    <n v="1"/>
    <x v="20"/>
    <x v="0"/>
    <x v="5"/>
    <x v="0"/>
    <n v="0.16"/>
    <n v="297"/>
    <n v="0.1515"/>
    <n v="0.47"/>
    <x v="6"/>
    <x v="3"/>
    <x v="27"/>
    <x v="37"/>
  </r>
  <r>
    <n v="299"/>
    <x v="12"/>
    <n v="1"/>
    <x v="21"/>
    <x v="0"/>
    <x v="5"/>
    <x v="0"/>
    <n v="0.14000000000000001"/>
    <n v="298"/>
    <n v="0.1212"/>
    <n v="0.46"/>
    <x v="4"/>
    <x v="3"/>
    <x v="71"/>
    <x v="1"/>
  </r>
  <r>
    <n v="300"/>
    <x v="12"/>
    <n v="1"/>
    <x v="22"/>
    <x v="0"/>
    <x v="5"/>
    <x v="0"/>
    <n v="0.14000000000000001"/>
    <n v="299"/>
    <n v="0.1212"/>
    <n v="0.46"/>
    <x v="9"/>
    <x v="3"/>
    <x v="10"/>
    <x v="33"/>
  </r>
  <r>
    <n v="301"/>
    <x v="12"/>
    <n v="1"/>
    <x v="23"/>
    <x v="0"/>
    <x v="5"/>
    <x v="0"/>
    <n v="0.12"/>
    <n v="300"/>
    <n v="0.13639999999999999"/>
    <n v="0.5"/>
    <x v="5"/>
    <x v="5"/>
    <x v="88"/>
    <x v="93"/>
  </r>
  <r>
    <n v="302"/>
    <x v="13"/>
    <n v="1"/>
    <x v="0"/>
    <x v="0"/>
    <x v="6"/>
    <x v="0"/>
    <n v="0.12"/>
    <n v="301"/>
    <n v="0.13639999999999999"/>
    <n v="0.5"/>
    <x v="5"/>
    <x v="3"/>
    <x v="88"/>
    <x v="8"/>
  </r>
  <r>
    <n v="303"/>
    <x v="13"/>
    <n v="1"/>
    <x v="1"/>
    <x v="0"/>
    <x v="6"/>
    <x v="0"/>
    <n v="0.1"/>
    <n v="302"/>
    <n v="0.1212"/>
    <n v="0.54"/>
    <x v="8"/>
    <x v="3"/>
    <x v="34"/>
    <x v="36"/>
  </r>
  <r>
    <n v="304"/>
    <x v="13"/>
    <n v="1"/>
    <x v="2"/>
    <x v="0"/>
    <x v="6"/>
    <x v="0"/>
    <n v="0.1"/>
    <n v="303"/>
    <n v="0.1212"/>
    <n v="0.54"/>
    <x v="7"/>
    <x v="3"/>
    <x v="4"/>
    <x v="4"/>
  </r>
  <r>
    <n v="305"/>
    <x v="13"/>
    <n v="1"/>
    <x v="3"/>
    <x v="0"/>
    <x v="6"/>
    <x v="0"/>
    <n v="0.1"/>
    <n v="304"/>
    <n v="0.13639999999999999"/>
    <n v="0.54"/>
    <x v="14"/>
    <x v="3"/>
    <x v="4"/>
    <x v="4"/>
  </r>
  <r>
    <n v="306"/>
    <x v="13"/>
    <n v="1"/>
    <x v="5"/>
    <x v="0"/>
    <x v="6"/>
    <x v="0"/>
    <n v="0.1"/>
    <n v="305"/>
    <n v="0.13639999999999999"/>
    <n v="0.54"/>
    <x v="1"/>
    <x v="3"/>
    <x v="21"/>
    <x v="7"/>
  </r>
  <r>
    <n v="307"/>
    <x v="13"/>
    <n v="1"/>
    <x v="6"/>
    <x v="0"/>
    <x v="6"/>
    <x v="0"/>
    <n v="0.1"/>
    <n v="306"/>
    <n v="0.18179999999999999"/>
    <n v="0.54"/>
    <x v="0"/>
    <x v="3"/>
    <x v="19"/>
    <x v="22"/>
  </r>
  <r>
    <n v="308"/>
    <x v="13"/>
    <n v="1"/>
    <x v="7"/>
    <x v="0"/>
    <x v="6"/>
    <x v="0"/>
    <n v="0.1"/>
    <n v="307"/>
    <n v="0.1212"/>
    <n v="0.74"/>
    <x v="8"/>
    <x v="3"/>
    <x v="14"/>
    <x v="27"/>
  </r>
  <r>
    <n v="309"/>
    <x v="13"/>
    <n v="1"/>
    <x v="8"/>
    <x v="0"/>
    <x v="6"/>
    <x v="0"/>
    <n v="0.12"/>
    <n v="308"/>
    <n v="0.16669999999999999"/>
    <n v="0.68"/>
    <x v="0"/>
    <x v="4"/>
    <x v="117"/>
    <x v="125"/>
  </r>
  <r>
    <n v="310"/>
    <x v="13"/>
    <n v="1"/>
    <x v="9"/>
    <x v="0"/>
    <x v="6"/>
    <x v="0"/>
    <n v="0.14000000000000001"/>
    <n v="309"/>
    <n v="0.1515"/>
    <n v="0.69"/>
    <x v="7"/>
    <x v="3"/>
    <x v="118"/>
    <x v="126"/>
  </r>
  <r>
    <n v="311"/>
    <x v="13"/>
    <n v="1"/>
    <x v="10"/>
    <x v="0"/>
    <x v="6"/>
    <x v="0"/>
    <n v="0.18"/>
    <n v="310"/>
    <n v="0.18179999999999999"/>
    <n v="0.55000000000000004"/>
    <x v="5"/>
    <x v="17"/>
    <x v="71"/>
    <x v="40"/>
  </r>
  <r>
    <n v="312"/>
    <x v="13"/>
    <n v="1"/>
    <x v="11"/>
    <x v="0"/>
    <x v="6"/>
    <x v="0"/>
    <n v="0.18"/>
    <n v="311"/>
    <n v="0.16669999999999999"/>
    <n v="0.51"/>
    <x v="3"/>
    <x v="15"/>
    <x v="12"/>
    <x v="26"/>
  </r>
  <r>
    <n v="313"/>
    <x v="13"/>
    <n v="1"/>
    <x v="12"/>
    <x v="0"/>
    <x v="6"/>
    <x v="0"/>
    <n v="0.2"/>
    <n v="312"/>
    <n v="0.19700000000000001"/>
    <n v="0.44"/>
    <x v="2"/>
    <x v="4"/>
    <x v="79"/>
    <x v="42"/>
  </r>
  <r>
    <n v="314"/>
    <x v="13"/>
    <n v="1"/>
    <x v="13"/>
    <x v="0"/>
    <x v="6"/>
    <x v="0"/>
    <n v="0.22"/>
    <n v="313"/>
    <n v="0.19700000000000001"/>
    <n v="0.37"/>
    <x v="13"/>
    <x v="17"/>
    <x v="26"/>
    <x v="43"/>
  </r>
  <r>
    <n v="315"/>
    <x v="13"/>
    <n v="1"/>
    <x v="14"/>
    <x v="0"/>
    <x v="6"/>
    <x v="0"/>
    <n v="0.22"/>
    <n v="314"/>
    <n v="0.21210000000000001"/>
    <n v="0.41"/>
    <x v="3"/>
    <x v="2"/>
    <x v="79"/>
    <x v="37"/>
  </r>
  <r>
    <n v="316"/>
    <x v="13"/>
    <n v="1"/>
    <x v="15"/>
    <x v="0"/>
    <x v="6"/>
    <x v="0"/>
    <n v="0.24"/>
    <n v="315"/>
    <n v="0.2424"/>
    <n v="0.38"/>
    <x v="8"/>
    <x v="14"/>
    <x v="79"/>
    <x v="118"/>
  </r>
  <r>
    <n v="317"/>
    <x v="13"/>
    <n v="1"/>
    <x v="16"/>
    <x v="0"/>
    <x v="6"/>
    <x v="0"/>
    <n v="0.22"/>
    <n v="316"/>
    <n v="0.2424"/>
    <n v="0.41"/>
    <x v="14"/>
    <x v="0"/>
    <x v="61"/>
    <x v="127"/>
  </r>
  <r>
    <n v="318"/>
    <x v="13"/>
    <n v="1"/>
    <x v="17"/>
    <x v="0"/>
    <x v="6"/>
    <x v="0"/>
    <n v="0.22"/>
    <n v="317"/>
    <n v="0.2273"/>
    <n v="0.41"/>
    <x v="8"/>
    <x v="17"/>
    <x v="119"/>
    <x v="128"/>
  </r>
  <r>
    <n v="319"/>
    <x v="13"/>
    <n v="1"/>
    <x v="18"/>
    <x v="0"/>
    <x v="6"/>
    <x v="0"/>
    <n v="0.2"/>
    <n v="318"/>
    <n v="0.2576"/>
    <n v="0.47"/>
    <x v="0"/>
    <x v="2"/>
    <x v="120"/>
    <x v="119"/>
  </r>
  <r>
    <n v="320"/>
    <x v="13"/>
    <n v="1"/>
    <x v="19"/>
    <x v="0"/>
    <x v="6"/>
    <x v="0"/>
    <n v="0.16"/>
    <n v="319"/>
    <n v="0.19700000000000001"/>
    <n v="0.59"/>
    <x v="1"/>
    <x v="0"/>
    <x v="121"/>
    <x v="101"/>
  </r>
  <r>
    <n v="321"/>
    <x v="13"/>
    <n v="1"/>
    <x v="20"/>
    <x v="0"/>
    <x v="6"/>
    <x v="0"/>
    <n v="0.18"/>
    <n v="320"/>
    <n v="0.2424"/>
    <n v="0.59"/>
    <x v="0"/>
    <x v="3"/>
    <x v="56"/>
    <x v="118"/>
  </r>
  <r>
    <n v="322"/>
    <x v="13"/>
    <n v="1"/>
    <x v="21"/>
    <x v="0"/>
    <x v="6"/>
    <x v="0"/>
    <n v="0.16"/>
    <n v="321"/>
    <n v="0.2273"/>
    <n v="0.69"/>
    <x v="0"/>
    <x v="17"/>
    <x v="41"/>
    <x v="46"/>
  </r>
  <r>
    <n v="323"/>
    <x v="13"/>
    <n v="1"/>
    <x v="22"/>
    <x v="0"/>
    <x v="6"/>
    <x v="1"/>
    <n v="0.16"/>
    <n v="322"/>
    <n v="0.2273"/>
    <n v="0.69"/>
    <x v="0"/>
    <x v="4"/>
    <x v="60"/>
    <x v="9"/>
  </r>
  <r>
    <n v="324"/>
    <x v="13"/>
    <n v="1"/>
    <x v="23"/>
    <x v="0"/>
    <x v="6"/>
    <x v="1"/>
    <n v="0.18"/>
    <n v="323"/>
    <n v="0.2424"/>
    <n v="0.55000000000000004"/>
    <x v="0"/>
    <x v="5"/>
    <x v="16"/>
    <x v="110"/>
  </r>
  <r>
    <n v="325"/>
    <x v="14"/>
    <n v="1"/>
    <x v="0"/>
    <x v="0"/>
    <x v="0"/>
    <x v="0"/>
    <n v="0.18"/>
    <n v="324"/>
    <n v="0.2424"/>
    <n v="0.55000000000000004"/>
    <x v="0"/>
    <x v="0"/>
    <x v="18"/>
    <x v="20"/>
  </r>
  <r>
    <n v="326"/>
    <x v="14"/>
    <n v="1"/>
    <x v="1"/>
    <x v="0"/>
    <x v="0"/>
    <x v="1"/>
    <n v="0.16"/>
    <n v="325"/>
    <n v="0.19700000000000001"/>
    <n v="0.59"/>
    <x v="1"/>
    <x v="4"/>
    <x v="72"/>
    <x v="25"/>
  </r>
  <r>
    <n v="327"/>
    <x v="14"/>
    <n v="1"/>
    <x v="2"/>
    <x v="0"/>
    <x v="0"/>
    <x v="1"/>
    <n v="0.16"/>
    <n v="326"/>
    <n v="0.19700000000000001"/>
    <n v="0.59"/>
    <x v="1"/>
    <x v="3"/>
    <x v="98"/>
    <x v="47"/>
  </r>
  <r>
    <n v="328"/>
    <x v="14"/>
    <n v="1"/>
    <x v="3"/>
    <x v="0"/>
    <x v="0"/>
    <x v="1"/>
    <n v="0.16"/>
    <n v="327"/>
    <n v="0.2273"/>
    <n v="0.59"/>
    <x v="0"/>
    <x v="5"/>
    <x v="7"/>
    <x v="7"/>
  </r>
  <r>
    <n v="329"/>
    <x v="14"/>
    <n v="1"/>
    <x v="4"/>
    <x v="0"/>
    <x v="0"/>
    <x v="1"/>
    <n v="0.16"/>
    <n v="328"/>
    <n v="0.2273"/>
    <n v="0.59"/>
    <x v="0"/>
    <x v="3"/>
    <x v="34"/>
    <x v="36"/>
  </r>
  <r>
    <n v="330"/>
    <x v="14"/>
    <n v="1"/>
    <x v="5"/>
    <x v="0"/>
    <x v="0"/>
    <x v="0"/>
    <n v="0.16"/>
    <n v="329"/>
    <n v="0.2273"/>
    <n v="0.59"/>
    <x v="0"/>
    <x v="3"/>
    <x v="4"/>
    <x v="4"/>
  </r>
  <r>
    <n v="331"/>
    <x v="14"/>
    <n v="1"/>
    <x v="6"/>
    <x v="0"/>
    <x v="0"/>
    <x v="0"/>
    <n v="0.14000000000000001"/>
    <n v="330"/>
    <n v="0.16669999999999999"/>
    <n v="0.63"/>
    <x v="14"/>
    <x v="5"/>
    <x v="6"/>
    <x v="6"/>
  </r>
  <r>
    <n v="332"/>
    <x v="14"/>
    <n v="1"/>
    <x v="7"/>
    <x v="0"/>
    <x v="0"/>
    <x v="0"/>
    <n v="0.14000000000000001"/>
    <n v="331"/>
    <n v="0.21210000000000001"/>
    <n v="0.63"/>
    <x v="0"/>
    <x v="5"/>
    <x v="33"/>
    <x v="98"/>
  </r>
  <r>
    <n v="333"/>
    <x v="14"/>
    <n v="1"/>
    <x v="8"/>
    <x v="0"/>
    <x v="0"/>
    <x v="0"/>
    <n v="0.14000000000000001"/>
    <n v="332"/>
    <n v="0.1515"/>
    <n v="0.63"/>
    <x v="7"/>
    <x v="5"/>
    <x v="97"/>
    <x v="84"/>
  </r>
  <r>
    <n v="334"/>
    <x v="14"/>
    <n v="1"/>
    <x v="9"/>
    <x v="0"/>
    <x v="0"/>
    <x v="0"/>
    <n v="0.16"/>
    <n v="333"/>
    <n v="0.18179999999999999"/>
    <n v="0.64"/>
    <x v="7"/>
    <x v="4"/>
    <x v="17"/>
    <x v="63"/>
  </r>
  <r>
    <n v="335"/>
    <x v="14"/>
    <n v="1"/>
    <x v="10"/>
    <x v="0"/>
    <x v="0"/>
    <x v="0"/>
    <n v="0.18"/>
    <n v="334"/>
    <n v="0.19700000000000001"/>
    <n v="0.59"/>
    <x v="8"/>
    <x v="4"/>
    <x v="77"/>
    <x v="29"/>
  </r>
  <r>
    <n v="336"/>
    <x v="14"/>
    <n v="1"/>
    <x v="11"/>
    <x v="0"/>
    <x v="0"/>
    <x v="0"/>
    <n v="0.2"/>
    <n v="335"/>
    <n v="0.19700000000000001"/>
    <n v="0.55000000000000004"/>
    <x v="6"/>
    <x v="25"/>
    <x v="25"/>
    <x v="44"/>
  </r>
  <r>
    <n v="337"/>
    <x v="14"/>
    <n v="1"/>
    <x v="12"/>
    <x v="0"/>
    <x v="0"/>
    <x v="0"/>
    <n v="0.24"/>
    <n v="336"/>
    <n v="0.2273"/>
    <n v="0.48"/>
    <x v="6"/>
    <x v="13"/>
    <x v="64"/>
    <x v="70"/>
  </r>
  <r>
    <n v="338"/>
    <x v="14"/>
    <n v="1"/>
    <x v="13"/>
    <x v="0"/>
    <x v="0"/>
    <x v="0"/>
    <n v="0.28000000000000003"/>
    <n v="337"/>
    <n v="0.2576"/>
    <n v="0.38"/>
    <x v="4"/>
    <x v="27"/>
    <x v="122"/>
    <x v="129"/>
  </r>
  <r>
    <n v="339"/>
    <x v="14"/>
    <n v="1"/>
    <x v="14"/>
    <x v="0"/>
    <x v="0"/>
    <x v="0"/>
    <n v="0.3"/>
    <n v="338"/>
    <n v="0.28789999999999999"/>
    <n v="0.39"/>
    <x v="3"/>
    <x v="7"/>
    <x v="50"/>
    <x v="130"/>
  </r>
  <r>
    <n v="340"/>
    <x v="14"/>
    <n v="1"/>
    <x v="15"/>
    <x v="0"/>
    <x v="0"/>
    <x v="1"/>
    <n v="0.32"/>
    <n v="339"/>
    <n v="0.31819999999999998"/>
    <n v="0.36"/>
    <x v="5"/>
    <x v="27"/>
    <x v="123"/>
    <x v="131"/>
  </r>
  <r>
    <n v="341"/>
    <x v="14"/>
    <n v="1"/>
    <x v="16"/>
    <x v="0"/>
    <x v="0"/>
    <x v="1"/>
    <n v="0.34"/>
    <n v="340"/>
    <n v="0.33329999999999999"/>
    <n v="0.34"/>
    <x v="5"/>
    <x v="28"/>
    <x v="73"/>
    <x v="116"/>
  </r>
  <r>
    <n v="342"/>
    <x v="14"/>
    <n v="1"/>
    <x v="17"/>
    <x v="0"/>
    <x v="0"/>
    <x v="1"/>
    <n v="0.32"/>
    <n v="341"/>
    <n v="0.30299999999999999"/>
    <n v="0.36"/>
    <x v="3"/>
    <x v="8"/>
    <x v="25"/>
    <x v="56"/>
  </r>
  <r>
    <n v="343"/>
    <x v="14"/>
    <n v="1"/>
    <x v="18"/>
    <x v="0"/>
    <x v="0"/>
    <x v="1"/>
    <n v="0.3"/>
    <n v="342"/>
    <n v="0.28789999999999999"/>
    <n v="0.45"/>
    <x v="2"/>
    <x v="13"/>
    <x v="94"/>
    <x v="11"/>
  </r>
  <r>
    <n v="344"/>
    <x v="14"/>
    <n v="1"/>
    <x v="19"/>
    <x v="0"/>
    <x v="0"/>
    <x v="1"/>
    <n v="0.32"/>
    <n v="343"/>
    <n v="0.30299999999999999"/>
    <n v="0.39"/>
    <x v="2"/>
    <x v="24"/>
    <x v="91"/>
    <x v="30"/>
  </r>
  <r>
    <n v="345"/>
    <x v="14"/>
    <n v="1"/>
    <x v="20"/>
    <x v="0"/>
    <x v="0"/>
    <x v="1"/>
    <n v="0.32"/>
    <n v="344"/>
    <n v="0.30299999999999999"/>
    <n v="0.39"/>
    <x v="2"/>
    <x v="15"/>
    <x v="96"/>
    <x v="102"/>
  </r>
  <r>
    <n v="346"/>
    <x v="14"/>
    <n v="1"/>
    <x v="21"/>
    <x v="0"/>
    <x v="0"/>
    <x v="1"/>
    <n v="0.32"/>
    <n v="345"/>
    <n v="0.30299999999999999"/>
    <n v="0.39"/>
    <x v="6"/>
    <x v="15"/>
    <x v="82"/>
    <x v="52"/>
  </r>
  <r>
    <n v="347"/>
    <x v="14"/>
    <n v="1"/>
    <x v="22"/>
    <x v="0"/>
    <x v="0"/>
    <x v="1"/>
    <n v="0.3"/>
    <n v="346"/>
    <n v="0.31819999999999998"/>
    <n v="0.42"/>
    <x v="14"/>
    <x v="3"/>
    <x v="16"/>
    <x v="132"/>
  </r>
  <r>
    <n v="348"/>
    <x v="14"/>
    <n v="1"/>
    <x v="23"/>
    <x v="0"/>
    <x v="0"/>
    <x v="0"/>
    <n v="0.3"/>
    <n v="347"/>
    <n v="0.28789999999999999"/>
    <n v="0.45"/>
    <x v="3"/>
    <x v="2"/>
    <x v="87"/>
    <x v="40"/>
  </r>
  <r>
    <n v="349"/>
    <x v="15"/>
    <n v="1"/>
    <x v="0"/>
    <x v="0"/>
    <x v="1"/>
    <x v="0"/>
    <n v="0.26"/>
    <n v="348"/>
    <n v="0.30299999999999999"/>
    <n v="0.56000000000000005"/>
    <x v="0"/>
    <x v="15"/>
    <x v="39"/>
    <x v="21"/>
  </r>
  <r>
    <n v="350"/>
    <x v="15"/>
    <n v="1"/>
    <x v="1"/>
    <x v="0"/>
    <x v="1"/>
    <x v="0"/>
    <n v="0.26"/>
    <n v="349"/>
    <n v="0.2727"/>
    <n v="0.56000000000000005"/>
    <x v="7"/>
    <x v="17"/>
    <x v="23"/>
    <x v="84"/>
  </r>
  <r>
    <n v="351"/>
    <x v="15"/>
    <n v="1"/>
    <x v="2"/>
    <x v="0"/>
    <x v="1"/>
    <x v="0"/>
    <n v="0.26"/>
    <n v="350"/>
    <n v="0.28789999999999999"/>
    <n v="0.56000000000000005"/>
    <x v="1"/>
    <x v="0"/>
    <x v="0"/>
    <x v="0"/>
  </r>
  <r>
    <n v="352"/>
    <x v="15"/>
    <n v="1"/>
    <x v="3"/>
    <x v="0"/>
    <x v="1"/>
    <x v="0"/>
    <n v="0.22"/>
    <n v="351"/>
    <n v="0.2727"/>
    <n v="0.69"/>
    <x v="0"/>
    <x v="14"/>
    <x v="8"/>
    <x v="93"/>
  </r>
  <r>
    <n v="353"/>
    <x v="15"/>
    <n v="1"/>
    <x v="4"/>
    <x v="0"/>
    <x v="1"/>
    <x v="0"/>
    <n v="0.26"/>
    <n v="352"/>
    <n v="0.2576"/>
    <n v="0.56000000000000005"/>
    <x v="8"/>
    <x v="3"/>
    <x v="4"/>
    <x v="4"/>
  </r>
  <r>
    <n v="354"/>
    <x v="15"/>
    <n v="1"/>
    <x v="5"/>
    <x v="0"/>
    <x v="1"/>
    <x v="1"/>
    <n v="0.26"/>
    <n v="353"/>
    <n v="0.2576"/>
    <n v="0.56000000000000005"/>
    <x v="8"/>
    <x v="5"/>
    <x v="4"/>
    <x v="5"/>
  </r>
  <r>
    <n v="355"/>
    <x v="15"/>
    <n v="1"/>
    <x v="6"/>
    <x v="0"/>
    <x v="1"/>
    <x v="1"/>
    <n v="0.26"/>
    <n v="354"/>
    <n v="0.2576"/>
    <n v="0.56000000000000005"/>
    <x v="8"/>
    <x v="3"/>
    <x v="4"/>
    <x v="4"/>
  </r>
  <r>
    <n v="356"/>
    <x v="15"/>
    <n v="1"/>
    <x v="7"/>
    <x v="0"/>
    <x v="1"/>
    <x v="1"/>
    <n v="0.24"/>
    <n v="355"/>
    <n v="0.21210000000000001"/>
    <n v="0.56000000000000005"/>
    <x v="4"/>
    <x v="3"/>
    <x v="35"/>
    <x v="6"/>
  </r>
  <r>
    <n v="357"/>
    <x v="15"/>
    <n v="1"/>
    <x v="8"/>
    <x v="0"/>
    <x v="1"/>
    <x v="0"/>
    <n v="0.22"/>
    <n v="356"/>
    <n v="0.21210000000000001"/>
    <n v="0.55000000000000004"/>
    <x v="3"/>
    <x v="3"/>
    <x v="72"/>
    <x v="109"/>
  </r>
  <r>
    <n v="358"/>
    <x v="15"/>
    <n v="1"/>
    <x v="9"/>
    <x v="0"/>
    <x v="1"/>
    <x v="0"/>
    <n v="0.22"/>
    <n v="357"/>
    <n v="0.21210000000000001"/>
    <n v="0.51"/>
    <x v="2"/>
    <x v="0"/>
    <x v="31"/>
    <x v="2"/>
  </r>
  <r>
    <n v="359"/>
    <x v="15"/>
    <n v="1"/>
    <x v="10"/>
    <x v="0"/>
    <x v="1"/>
    <x v="0"/>
    <n v="0.22"/>
    <n v="358"/>
    <n v="0.21210000000000001"/>
    <n v="0.51"/>
    <x v="3"/>
    <x v="1"/>
    <x v="13"/>
    <x v="67"/>
  </r>
  <r>
    <n v="360"/>
    <x v="15"/>
    <n v="1"/>
    <x v="11"/>
    <x v="0"/>
    <x v="1"/>
    <x v="0"/>
    <n v="0.24"/>
    <n v="359"/>
    <n v="0.2273"/>
    <n v="0.44"/>
    <x v="2"/>
    <x v="29"/>
    <x v="14"/>
    <x v="15"/>
  </r>
  <r>
    <n v="361"/>
    <x v="15"/>
    <n v="1"/>
    <x v="12"/>
    <x v="0"/>
    <x v="1"/>
    <x v="0"/>
    <n v="0.24"/>
    <n v="360"/>
    <n v="0.21210000000000001"/>
    <n v="0.41"/>
    <x v="3"/>
    <x v="8"/>
    <x v="102"/>
    <x v="133"/>
  </r>
  <r>
    <n v="362"/>
    <x v="15"/>
    <n v="1"/>
    <x v="13"/>
    <x v="0"/>
    <x v="1"/>
    <x v="0"/>
    <n v="0.26"/>
    <n v="361"/>
    <n v="0.2273"/>
    <n v="0.35"/>
    <x v="4"/>
    <x v="29"/>
    <x v="73"/>
    <x v="130"/>
  </r>
  <r>
    <n v="363"/>
    <x v="15"/>
    <n v="1"/>
    <x v="14"/>
    <x v="0"/>
    <x v="1"/>
    <x v="0"/>
    <n v="0.28000000000000003"/>
    <n v="362"/>
    <n v="0.2727"/>
    <n v="0.36"/>
    <x v="2"/>
    <x v="30"/>
    <x v="94"/>
    <x v="134"/>
  </r>
  <r>
    <n v="364"/>
    <x v="15"/>
    <n v="1"/>
    <x v="15"/>
    <x v="0"/>
    <x v="1"/>
    <x v="0"/>
    <n v="0.26"/>
    <n v="363"/>
    <n v="0.2424"/>
    <n v="0.38"/>
    <x v="2"/>
    <x v="10"/>
    <x v="78"/>
    <x v="135"/>
  </r>
  <r>
    <n v="365"/>
    <x v="15"/>
    <n v="1"/>
    <x v="16"/>
    <x v="0"/>
    <x v="1"/>
    <x v="0"/>
    <n v="0.24"/>
    <n v="364"/>
    <n v="0.2273"/>
    <n v="0.38"/>
    <x v="6"/>
    <x v="30"/>
    <x v="99"/>
    <x v="111"/>
  </r>
  <r>
    <n v="366"/>
    <x v="15"/>
    <n v="1"/>
    <x v="17"/>
    <x v="0"/>
    <x v="1"/>
    <x v="0"/>
    <n v="0.22"/>
    <n v="365"/>
    <n v="0.21210000000000001"/>
    <n v="0.37"/>
    <x v="2"/>
    <x v="29"/>
    <x v="70"/>
    <x v="136"/>
  </r>
  <r>
    <n v="367"/>
    <x v="15"/>
    <n v="1"/>
    <x v="18"/>
    <x v="0"/>
    <x v="1"/>
    <x v="0"/>
    <n v="0.2"/>
    <n v="366"/>
    <n v="0.21210000000000001"/>
    <n v="0.4"/>
    <x v="8"/>
    <x v="16"/>
    <x v="90"/>
    <x v="16"/>
  </r>
  <r>
    <n v="368"/>
    <x v="15"/>
    <n v="1"/>
    <x v="19"/>
    <x v="0"/>
    <x v="1"/>
    <x v="0"/>
    <n v="0.18"/>
    <n v="367"/>
    <n v="0.19700000000000001"/>
    <n v="0.47"/>
    <x v="7"/>
    <x v="24"/>
    <x v="12"/>
    <x v="42"/>
  </r>
  <r>
    <n v="369"/>
    <x v="15"/>
    <n v="1"/>
    <x v="20"/>
    <x v="0"/>
    <x v="1"/>
    <x v="0"/>
    <n v="0.18"/>
    <n v="368"/>
    <n v="0.19700000000000001"/>
    <n v="0.47"/>
    <x v="8"/>
    <x v="18"/>
    <x v="54"/>
    <x v="52"/>
  </r>
  <r>
    <n v="370"/>
    <x v="15"/>
    <n v="1"/>
    <x v="21"/>
    <x v="0"/>
    <x v="1"/>
    <x v="0"/>
    <n v="0.18"/>
    <n v="369"/>
    <n v="0.19700000000000001"/>
    <n v="0.51"/>
    <x v="8"/>
    <x v="15"/>
    <x v="97"/>
    <x v="20"/>
  </r>
  <r>
    <n v="371"/>
    <x v="15"/>
    <n v="1"/>
    <x v="22"/>
    <x v="0"/>
    <x v="1"/>
    <x v="1"/>
    <n v="0.2"/>
    <n v="370"/>
    <n v="0.21210000000000001"/>
    <n v="0.49"/>
    <x v="7"/>
    <x v="4"/>
    <x v="23"/>
    <x v="137"/>
  </r>
  <r>
    <n v="372"/>
    <x v="15"/>
    <n v="1"/>
    <x v="23"/>
    <x v="0"/>
    <x v="1"/>
    <x v="1"/>
    <n v="0.2"/>
    <n v="371"/>
    <n v="0.2273"/>
    <n v="0.4"/>
    <x v="14"/>
    <x v="3"/>
    <x v="72"/>
    <x v="109"/>
  </r>
  <r>
    <n v="373"/>
    <x v="16"/>
    <n v="1"/>
    <x v="0"/>
    <x v="1"/>
    <x v="2"/>
    <x v="1"/>
    <n v="0.2"/>
    <n v="372"/>
    <n v="0.19700000000000001"/>
    <n v="0.47"/>
    <x v="6"/>
    <x v="5"/>
    <x v="20"/>
    <x v="22"/>
  </r>
  <r>
    <n v="374"/>
    <x v="16"/>
    <n v="1"/>
    <x v="1"/>
    <x v="1"/>
    <x v="2"/>
    <x v="1"/>
    <n v="0.2"/>
    <n v="373"/>
    <n v="0.19700000000000001"/>
    <n v="0.44"/>
    <x v="5"/>
    <x v="5"/>
    <x v="89"/>
    <x v="0"/>
  </r>
  <r>
    <n v="375"/>
    <x v="16"/>
    <n v="1"/>
    <x v="2"/>
    <x v="1"/>
    <x v="2"/>
    <x v="1"/>
    <n v="0.18"/>
    <n v="374"/>
    <n v="0.16669999999999999"/>
    <n v="0.43"/>
    <x v="2"/>
    <x v="3"/>
    <x v="21"/>
    <x v="7"/>
  </r>
  <r>
    <n v="376"/>
    <x v="16"/>
    <n v="1"/>
    <x v="3"/>
    <x v="1"/>
    <x v="2"/>
    <x v="1"/>
    <n v="0.18"/>
    <n v="375"/>
    <n v="0.18179999999999999"/>
    <n v="0.43"/>
    <x v="5"/>
    <x v="3"/>
    <x v="6"/>
    <x v="5"/>
  </r>
  <r>
    <n v="377"/>
    <x v="16"/>
    <n v="1"/>
    <x v="4"/>
    <x v="1"/>
    <x v="2"/>
    <x v="1"/>
    <n v="0.18"/>
    <n v="376"/>
    <n v="0.19700000000000001"/>
    <n v="0.43"/>
    <x v="7"/>
    <x v="5"/>
    <x v="6"/>
    <x v="6"/>
  </r>
  <r>
    <n v="378"/>
    <x v="16"/>
    <n v="1"/>
    <x v="5"/>
    <x v="1"/>
    <x v="2"/>
    <x v="1"/>
    <n v="0.18"/>
    <n v="377"/>
    <n v="0.19700000000000001"/>
    <n v="0.43"/>
    <x v="8"/>
    <x v="3"/>
    <x v="4"/>
    <x v="4"/>
  </r>
  <r>
    <n v="379"/>
    <x v="16"/>
    <n v="1"/>
    <x v="6"/>
    <x v="1"/>
    <x v="2"/>
    <x v="1"/>
    <n v="0.18"/>
    <n v="378"/>
    <n v="0.18179999999999999"/>
    <n v="0.43"/>
    <x v="5"/>
    <x v="3"/>
    <x v="34"/>
    <x v="36"/>
  </r>
  <r>
    <n v="380"/>
    <x v="16"/>
    <n v="1"/>
    <x v="7"/>
    <x v="1"/>
    <x v="2"/>
    <x v="1"/>
    <n v="0.16"/>
    <n v="379"/>
    <n v="0.18179999999999999"/>
    <n v="0.5"/>
    <x v="7"/>
    <x v="17"/>
    <x v="33"/>
    <x v="3"/>
  </r>
  <r>
    <n v="381"/>
    <x v="16"/>
    <n v="1"/>
    <x v="8"/>
    <x v="1"/>
    <x v="2"/>
    <x v="1"/>
    <n v="0.16"/>
    <n v="380"/>
    <n v="0.1515"/>
    <n v="0.47"/>
    <x v="6"/>
    <x v="0"/>
    <x v="10"/>
    <x v="63"/>
  </r>
  <r>
    <n v="382"/>
    <x v="16"/>
    <n v="1"/>
    <x v="9"/>
    <x v="1"/>
    <x v="2"/>
    <x v="1"/>
    <n v="0.16"/>
    <n v="381"/>
    <n v="0.1515"/>
    <n v="0.47"/>
    <x v="6"/>
    <x v="1"/>
    <x v="87"/>
    <x v="105"/>
  </r>
  <r>
    <n v="383"/>
    <x v="16"/>
    <n v="1"/>
    <x v="10"/>
    <x v="1"/>
    <x v="2"/>
    <x v="1"/>
    <n v="0.16"/>
    <n v="382"/>
    <n v="0.1515"/>
    <n v="0.5"/>
    <x v="2"/>
    <x v="18"/>
    <x v="54"/>
    <x v="52"/>
  </r>
  <r>
    <n v="384"/>
    <x v="16"/>
    <n v="1"/>
    <x v="11"/>
    <x v="1"/>
    <x v="2"/>
    <x v="1"/>
    <n v="0.16"/>
    <n v="383"/>
    <n v="0.1515"/>
    <n v="0.55000000000000004"/>
    <x v="5"/>
    <x v="14"/>
    <x v="11"/>
    <x v="37"/>
  </r>
  <r>
    <n v="385"/>
    <x v="16"/>
    <n v="1"/>
    <x v="12"/>
    <x v="1"/>
    <x v="2"/>
    <x v="1"/>
    <n v="0.18"/>
    <n v="384"/>
    <n v="0.19700000000000001"/>
    <n v="0.47"/>
    <x v="7"/>
    <x v="22"/>
    <x v="14"/>
    <x v="138"/>
  </r>
  <r>
    <n v="386"/>
    <x v="16"/>
    <n v="1"/>
    <x v="13"/>
    <x v="1"/>
    <x v="2"/>
    <x v="1"/>
    <n v="0.18"/>
    <n v="385"/>
    <n v="0.19700000000000001"/>
    <n v="0.47"/>
    <x v="7"/>
    <x v="23"/>
    <x v="122"/>
    <x v="15"/>
  </r>
  <r>
    <n v="387"/>
    <x v="16"/>
    <n v="1"/>
    <x v="14"/>
    <x v="1"/>
    <x v="2"/>
    <x v="1"/>
    <n v="0.18"/>
    <n v="386"/>
    <n v="0.21210000000000001"/>
    <n v="0.43"/>
    <x v="14"/>
    <x v="6"/>
    <x v="64"/>
    <x v="80"/>
  </r>
  <r>
    <n v="388"/>
    <x v="16"/>
    <n v="1"/>
    <x v="15"/>
    <x v="1"/>
    <x v="2"/>
    <x v="1"/>
    <n v="0.2"/>
    <n v="387"/>
    <n v="0.21210000000000001"/>
    <n v="0.47"/>
    <x v="8"/>
    <x v="27"/>
    <x v="109"/>
    <x v="15"/>
  </r>
  <r>
    <n v="389"/>
    <x v="16"/>
    <n v="1"/>
    <x v="16"/>
    <x v="1"/>
    <x v="2"/>
    <x v="1"/>
    <n v="0.2"/>
    <n v="388"/>
    <n v="0.21210000000000001"/>
    <n v="0.47"/>
    <x v="8"/>
    <x v="15"/>
    <x v="83"/>
    <x v="100"/>
  </r>
  <r>
    <n v="390"/>
    <x v="16"/>
    <n v="1"/>
    <x v="17"/>
    <x v="1"/>
    <x v="2"/>
    <x v="0"/>
    <n v="0.2"/>
    <n v="389"/>
    <n v="0.19700000000000001"/>
    <n v="0.51"/>
    <x v="5"/>
    <x v="17"/>
    <x v="28"/>
    <x v="68"/>
  </r>
  <r>
    <n v="391"/>
    <x v="16"/>
    <n v="1"/>
    <x v="18"/>
    <x v="1"/>
    <x v="2"/>
    <x v="1"/>
    <n v="0.18"/>
    <n v="390"/>
    <n v="0.16669999999999999"/>
    <n v="0.55000000000000004"/>
    <x v="2"/>
    <x v="18"/>
    <x v="66"/>
    <x v="101"/>
  </r>
  <r>
    <n v="392"/>
    <x v="16"/>
    <n v="1"/>
    <x v="19"/>
    <x v="1"/>
    <x v="2"/>
    <x v="2"/>
    <n v="0.18"/>
    <n v="391"/>
    <n v="0.18179999999999999"/>
    <n v="0.59"/>
    <x v="5"/>
    <x v="4"/>
    <x v="29"/>
    <x v="122"/>
  </r>
  <r>
    <n v="393"/>
    <x v="16"/>
    <n v="1"/>
    <x v="20"/>
    <x v="1"/>
    <x v="2"/>
    <x v="2"/>
    <n v="0.16"/>
    <n v="392"/>
    <n v="0.1515"/>
    <n v="0.8"/>
    <x v="5"/>
    <x v="17"/>
    <x v="31"/>
    <x v="63"/>
  </r>
  <r>
    <n v="394"/>
    <x v="16"/>
    <n v="1"/>
    <x v="21"/>
    <x v="1"/>
    <x v="2"/>
    <x v="2"/>
    <n v="0.16"/>
    <n v="393"/>
    <n v="0.1515"/>
    <n v="0.8"/>
    <x v="5"/>
    <x v="0"/>
    <x v="9"/>
    <x v="110"/>
  </r>
  <r>
    <n v="395"/>
    <x v="16"/>
    <n v="1"/>
    <x v="22"/>
    <x v="1"/>
    <x v="2"/>
    <x v="2"/>
    <n v="0.14000000000000001"/>
    <n v="394"/>
    <n v="0.1212"/>
    <n v="0.93"/>
    <x v="2"/>
    <x v="3"/>
    <x v="0"/>
    <x v="3"/>
  </r>
  <r>
    <n v="396"/>
    <x v="16"/>
    <n v="1"/>
    <x v="23"/>
    <x v="1"/>
    <x v="2"/>
    <x v="2"/>
    <n v="0.16"/>
    <n v="395"/>
    <n v="0.13639999999999999"/>
    <n v="0.86"/>
    <x v="3"/>
    <x v="5"/>
    <x v="35"/>
    <x v="48"/>
  </r>
  <r>
    <n v="397"/>
    <x v="17"/>
    <n v="1"/>
    <x v="12"/>
    <x v="0"/>
    <x v="3"/>
    <x v="1"/>
    <n v="0.2"/>
    <n v="396"/>
    <n v="0.18179999999999999"/>
    <n v="0.86"/>
    <x v="9"/>
    <x v="3"/>
    <x v="35"/>
    <x v="6"/>
  </r>
  <r>
    <n v="398"/>
    <x v="17"/>
    <n v="1"/>
    <x v="13"/>
    <x v="0"/>
    <x v="3"/>
    <x v="1"/>
    <n v="0.2"/>
    <n v="397"/>
    <n v="0.19700000000000001"/>
    <n v="0.86"/>
    <x v="6"/>
    <x v="3"/>
    <x v="97"/>
    <x v="34"/>
  </r>
  <r>
    <n v="399"/>
    <x v="17"/>
    <n v="1"/>
    <x v="14"/>
    <x v="0"/>
    <x v="3"/>
    <x v="1"/>
    <n v="0.22"/>
    <n v="398"/>
    <n v="0.2273"/>
    <n v="0.8"/>
    <x v="8"/>
    <x v="4"/>
    <x v="16"/>
    <x v="20"/>
  </r>
  <r>
    <n v="400"/>
    <x v="17"/>
    <n v="1"/>
    <x v="15"/>
    <x v="0"/>
    <x v="3"/>
    <x v="1"/>
    <n v="0.22"/>
    <n v="399"/>
    <n v="0.2273"/>
    <n v="0.87"/>
    <x v="8"/>
    <x v="0"/>
    <x v="1"/>
    <x v="17"/>
  </r>
  <r>
    <n v="401"/>
    <x v="17"/>
    <n v="1"/>
    <x v="16"/>
    <x v="0"/>
    <x v="3"/>
    <x v="1"/>
    <n v="0.22"/>
    <n v="400"/>
    <n v="0.2273"/>
    <n v="0.87"/>
    <x v="5"/>
    <x v="3"/>
    <x v="124"/>
    <x v="42"/>
  </r>
  <r>
    <n v="402"/>
    <x v="17"/>
    <n v="1"/>
    <x v="17"/>
    <x v="0"/>
    <x v="3"/>
    <x v="1"/>
    <n v="0.22"/>
    <n v="401"/>
    <n v="0.2273"/>
    <n v="0.82"/>
    <x v="5"/>
    <x v="5"/>
    <x v="125"/>
    <x v="139"/>
  </r>
  <r>
    <n v="403"/>
    <x v="17"/>
    <n v="1"/>
    <x v="18"/>
    <x v="0"/>
    <x v="3"/>
    <x v="1"/>
    <n v="0.22"/>
    <n v="402"/>
    <n v="0.2273"/>
    <n v="0.8"/>
    <x v="8"/>
    <x v="5"/>
    <x v="126"/>
    <x v="140"/>
  </r>
  <r>
    <n v="404"/>
    <x v="17"/>
    <n v="1"/>
    <x v="19"/>
    <x v="0"/>
    <x v="3"/>
    <x v="1"/>
    <n v="0.22"/>
    <n v="403"/>
    <n v="0.2273"/>
    <n v="0.8"/>
    <x v="7"/>
    <x v="5"/>
    <x v="52"/>
    <x v="111"/>
  </r>
  <r>
    <n v="405"/>
    <x v="17"/>
    <n v="1"/>
    <x v="20"/>
    <x v="0"/>
    <x v="3"/>
    <x v="1"/>
    <n v="0.22"/>
    <n v="404"/>
    <n v="0.2727"/>
    <n v="0.87"/>
    <x v="0"/>
    <x v="3"/>
    <x v="93"/>
    <x v="56"/>
  </r>
  <r>
    <n v="406"/>
    <x v="17"/>
    <n v="1"/>
    <x v="21"/>
    <x v="0"/>
    <x v="3"/>
    <x v="1"/>
    <n v="0.22"/>
    <n v="405"/>
    <n v="0.2424"/>
    <n v="0.93"/>
    <x v="14"/>
    <x v="3"/>
    <x v="40"/>
    <x v="102"/>
  </r>
  <r>
    <n v="407"/>
    <x v="17"/>
    <n v="1"/>
    <x v="22"/>
    <x v="0"/>
    <x v="3"/>
    <x v="1"/>
    <n v="0.22"/>
    <n v="406"/>
    <n v="0.2576"/>
    <n v="0.93"/>
    <x v="1"/>
    <x v="3"/>
    <x v="39"/>
    <x v="63"/>
  </r>
  <r>
    <n v="408"/>
    <x v="17"/>
    <n v="1"/>
    <x v="23"/>
    <x v="0"/>
    <x v="3"/>
    <x v="1"/>
    <n v="0.22"/>
    <n v="407"/>
    <n v="0.2727"/>
    <n v="0.93"/>
    <x v="0"/>
    <x v="5"/>
    <x v="23"/>
    <x v="25"/>
  </r>
  <r>
    <n v="409"/>
    <x v="18"/>
    <n v="1"/>
    <x v="0"/>
    <x v="0"/>
    <x v="4"/>
    <x v="1"/>
    <n v="0.22"/>
    <n v="408"/>
    <n v="0.2727"/>
    <n v="0.93"/>
    <x v="0"/>
    <x v="3"/>
    <x v="35"/>
    <x v="6"/>
  </r>
  <r>
    <n v="410"/>
    <x v="18"/>
    <n v="1"/>
    <x v="1"/>
    <x v="0"/>
    <x v="4"/>
    <x v="2"/>
    <n v="0.22"/>
    <n v="409"/>
    <n v="0.2273"/>
    <n v="0.93"/>
    <x v="7"/>
    <x v="5"/>
    <x v="8"/>
    <x v="85"/>
  </r>
  <r>
    <n v="411"/>
    <x v="18"/>
    <n v="1"/>
    <x v="2"/>
    <x v="0"/>
    <x v="4"/>
    <x v="2"/>
    <n v="0.22"/>
    <n v="410"/>
    <n v="0.2273"/>
    <n v="0.93"/>
    <x v="7"/>
    <x v="3"/>
    <x v="35"/>
    <x v="6"/>
  </r>
  <r>
    <n v="412"/>
    <x v="18"/>
    <n v="1"/>
    <x v="4"/>
    <x v="0"/>
    <x v="4"/>
    <x v="2"/>
    <n v="0.22"/>
    <n v="411"/>
    <n v="0.2273"/>
    <n v="0.93"/>
    <x v="7"/>
    <x v="5"/>
    <x v="4"/>
    <x v="5"/>
  </r>
  <r>
    <n v="413"/>
    <x v="18"/>
    <n v="1"/>
    <x v="5"/>
    <x v="0"/>
    <x v="4"/>
    <x v="1"/>
    <n v="0.22"/>
    <n v="412"/>
    <n v="0.2576"/>
    <n v="0.93"/>
    <x v="1"/>
    <x v="3"/>
    <x v="7"/>
    <x v="85"/>
  </r>
  <r>
    <n v="414"/>
    <x v="18"/>
    <n v="1"/>
    <x v="6"/>
    <x v="0"/>
    <x v="4"/>
    <x v="1"/>
    <n v="0.22"/>
    <n v="413"/>
    <n v="0.2576"/>
    <n v="0.93"/>
    <x v="1"/>
    <x v="3"/>
    <x v="1"/>
    <x v="2"/>
  </r>
  <r>
    <n v="415"/>
    <x v="18"/>
    <n v="1"/>
    <x v="7"/>
    <x v="0"/>
    <x v="4"/>
    <x v="1"/>
    <n v="0.24"/>
    <n v="414"/>
    <n v="0.2576"/>
    <n v="0.92"/>
    <x v="14"/>
    <x v="5"/>
    <x v="121"/>
    <x v="127"/>
  </r>
  <r>
    <n v="416"/>
    <x v="18"/>
    <n v="1"/>
    <x v="8"/>
    <x v="0"/>
    <x v="4"/>
    <x v="1"/>
    <n v="0.24"/>
    <n v="415"/>
    <n v="0.2576"/>
    <n v="0.93"/>
    <x v="14"/>
    <x v="5"/>
    <x v="127"/>
    <x v="141"/>
  </r>
  <r>
    <n v="417"/>
    <x v="18"/>
    <n v="1"/>
    <x v="9"/>
    <x v="0"/>
    <x v="4"/>
    <x v="1"/>
    <n v="0.24"/>
    <n v="416"/>
    <n v="0.2576"/>
    <n v="0.93"/>
    <x v="14"/>
    <x v="4"/>
    <x v="128"/>
    <x v="142"/>
  </r>
  <r>
    <n v="418"/>
    <x v="18"/>
    <n v="1"/>
    <x v="10"/>
    <x v="0"/>
    <x v="4"/>
    <x v="1"/>
    <n v="0.26"/>
    <n v="417"/>
    <n v="0.2727"/>
    <n v="0.93"/>
    <x v="7"/>
    <x v="5"/>
    <x v="24"/>
    <x v="105"/>
  </r>
  <r>
    <n v="419"/>
    <x v="18"/>
    <n v="1"/>
    <x v="11"/>
    <x v="0"/>
    <x v="4"/>
    <x v="1"/>
    <n v="0.28000000000000003"/>
    <n v="418"/>
    <n v="0.30299999999999999"/>
    <n v="0.87"/>
    <x v="1"/>
    <x v="2"/>
    <x v="12"/>
    <x v="46"/>
  </r>
  <r>
    <n v="420"/>
    <x v="18"/>
    <n v="1"/>
    <x v="12"/>
    <x v="0"/>
    <x v="4"/>
    <x v="1"/>
    <n v="0.3"/>
    <n v="419"/>
    <n v="0.31819999999999998"/>
    <n v="0.81"/>
    <x v="1"/>
    <x v="2"/>
    <x v="65"/>
    <x v="27"/>
  </r>
  <r>
    <n v="421"/>
    <x v="18"/>
    <n v="1"/>
    <x v="13"/>
    <x v="0"/>
    <x v="4"/>
    <x v="0"/>
    <n v="0.4"/>
    <n v="420"/>
    <n v="0.40910000000000002"/>
    <n v="0.62"/>
    <x v="3"/>
    <x v="16"/>
    <x v="28"/>
    <x v="53"/>
  </r>
  <r>
    <n v="422"/>
    <x v="18"/>
    <n v="1"/>
    <x v="14"/>
    <x v="0"/>
    <x v="4"/>
    <x v="0"/>
    <n v="0.4"/>
    <n v="421"/>
    <n v="0.40910000000000002"/>
    <n v="0.57999999999999996"/>
    <x v="2"/>
    <x v="18"/>
    <x v="56"/>
    <x v="28"/>
  </r>
  <r>
    <n v="423"/>
    <x v="18"/>
    <n v="1"/>
    <x v="15"/>
    <x v="0"/>
    <x v="4"/>
    <x v="0"/>
    <n v="0.4"/>
    <n v="422"/>
    <n v="0.40910000000000002"/>
    <n v="0.54"/>
    <x v="3"/>
    <x v="17"/>
    <x v="78"/>
    <x v="100"/>
  </r>
  <r>
    <n v="424"/>
    <x v="18"/>
    <n v="1"/>
    <x v="16"/>
    <x v="0"/>
    <x v="4"/>
    <x v="0"/>
    <n v="0.38"/>
    <n v="423"/>
    <n v="0.39389999999999997"/>
    <n v="0.57999999999999996"/>
    <x v="13"/>
    <x v="22"/>
    <x v="111"/>
    <x v="133"/>
  </r>
  <r>
    <n v="425"/>
    <x v="18"/>
    <n v="1"/>
    <x v="17"/>
    <x v="0"/>
    <x v="4"/>
    <x v="0"/>
    <n v="0.36"/>
    <n v="424"/>
    <n v="0.33329999999999999"/>
    <n v="0.56999999999999995"/>
    <x v="9"/>
    <x v="18"/>
    <x v="84"/>
    <x v="141"/>
  </r>
  <r>
    <n v="426"/>
    <x v="18"/>
    <n v="1"/>
    <x v="18"/>
    <x v="0"/>
    <x v="4"/>
    <x v="0"/>
    <n v="0.34"/>
    <n v="425"/>
    <n v="0.31819999999999998"/>
    <n v="0.61"/>
    <x v="3"/>
    <x v="2"/>
    <x v="117"/>
    <x v="143"/>
  </r>
  <r>
    <n v="427"/>
    <x v="18"/>
    <n v="1"/>
    <x v="19"/>
    <x v="0"/>
    <x v="4"/>
    <x v="0"/>
    <n v="0.32"/>
    <n v="426"/>
    <n v="0.28789999999999999"/>
    <n v="0.56999999999999995"/>
    <x v="12"/>
    <x v="17"/>
    <x v="123"/>
    <x v="59"/>
  </r>
  <r>
    <n v="428"/>
    <x v="18"/>
    <n v="1"/>
    <x v="20"/>
    <x v="0"/>
    <x v="4"/>
    <x v="0"/>
    <n v="0.32"/>
    <n v="427"/>
    <n v="0.30299999999999999"/>
    <n v="0.49"/>
    <x v="4"/>
    <x v="4"/>
    <x v="64"/>
    <x v="31"/>
  </r>
  <r>
    <n v="429"/>
    <x v="18"/>
    <n v="1"/>
    <x v="21"/>
    <x v="0"/>
    <x v="4"/>
    <x v="0"/>
    <n v="0.32"/>
    <n v="428"/>
    <n v="0.28789999999999999"/>
    <n v="0.49"/>
    <x v="12"/>
    <x v="17"/>
    <x v="11"/>
    <x v="29"/>
  </r>
  <r>
    <n v="430"/>
    <x v="18"/>
    <n v="1"/>
    <x v="22"/>
    <x v="0"/>
    <x v="4"/>
    <x v="0"/>
    <n v="0.3"/>
    <n v="429"/>
    <n v="0.30299999999999999"/>
    <n v="0.52"/>
    <x v="8"/>
    <x v="15"/>
    <x v="42"/>
    <x v="29"/>
  </r>
  <r>
    <n v="431"/>
    <x v="18"/>
    <n v="1"/>
    <x v="23"/>
    <x v="0"/>
    <x v="4"/>
    <x v="0"/>
    <n v="0.3"/>
    <n v="430"/>
    <n v="0.2727"/>
    <n v="0.52"/>
    <x v="17"/>
    <x v="5"/>
    <x v="2"/>
    <x v="20"/>
  </r>
  <r>
    <n v="432"/>
    <x v="19"/>
    <n v="1"/>
    <x v="0"/>
    <x v="0"/>
    <x v="5"/>
    <x v="0"/>
    <n v="0.26"/>
    <n v="431"/>
    <n v="0.2273"/>
    <n v="0.56000000000000005"/>
    <x v="13"/>
    <x v="2"/>
    <x v="21"/>
    <x v="3"/>
  </r>
  <r>
    <n v="433"/>
    <x v="19"/>
    <n v="1"/>
    <x v="1"/>
    <x v="0"/>
    <x v="5"/>
    <x v="0"/>
    <n v="0.26"/>
    <n v="432"/>
    <n v="0.2727"/>
    <n v="0.56000000000000005"/>
    <x v="0"/>
    <x v="4"/>
    <x v="35"/>
    <x v="36"/>
  </r>
  <r>
    <n v="434"/>
    <x v="19"/>
    <n v="1"/>
    <x v="2"/>
    <x v="0"/>
    <x v="5"/>
    <x v="0"/>
    <n v="0.26"/>
    <n v="433"/>
    <n v="0.2727"/>
    <n v="0.56000000000000005"/>
    <x v="0"/>
    <x v="3"/>
    <x v="6"/>
    <x v="5"/>
  </r>
  <r>
    <n v="435"/>
    <x v="19"/>
    <n v="1"/>
    <x v="3"/>
    <x v="0"/>
    <x v="5"/>
    <x v="0"/>
    <n v="0.26"/>
    <n v="434"/>
    <n v="0.2576"/>
    <n v="0.56000000000000005"/>
    <x v="8"/>
    <x v="3"/>
    <x v="4"/>
    <x v="4"/>
  </r>
  <r>
    <n v="436"/>
    <x v="19"/>
    <n v="1"/>
    <x v="4"/>
    <x v="0"/>
    <x v="5"/>
    <x v="0"/>
    <n v="0.26"/>
    <n v="435"/>
    <n v="0.2576"/>
    <n v="0.56000000000000005"/>
    <x v="8"/>
    <x v="3"/>
    <x v="4"/>
    <x v="4"/>
  </r>
  <r>
    <n v="437"/>
    <x v="19"/>
    <n v="1"/>
    <x v="5"/>
    <x v="0"/>
    <x v="5"/>
    <x v="0"/>
    <n v="0.24"/>
    <n v="436"/>
    <n v="0.2273"/>
    <n v="0.6"/>
    <x v="6"/>
    <x v="3"/>
    <x v="8"/>
    <x v="24"/>
  </r>
  <r>
    <n v="438"/>
    <x v="19"/>
    <n v="1"/>
    <x v="6"/>
    <x v="0"/>
    <x v="5"/>
    <x v="0"/>
    <n v="0.22"/>
    <n v="437"/>
    <n v="0.21210000000000001"/>
    <n v="0.6"/>
    <x v="6"/>
    <x v="3"/>
    <x v="96"/>
    <x v="17"/>
  </r>
  <r>
    <n v="439"/>
    <x v="19"/>
    <n v="1"/>
    <x v="7"/>
    <x v="0"/>
    <x v="5"/>
    <x v="0"/>
    <n v="0.22"/>
    <n v="438"/>
    <n v="0.21210000000000001"/>
    <n v="0.55000000000000004"/>
    <x v="6"/>
    <x v="5"/>
    <x v="129"/>
    <x v="129"/>
  </r>
  <r>
    <n v="440"/>
    <x v="19"/>
    <n v="1"/>
    <x v="8"/>
    <x v="0"/>
    <x v="5"/>
    <x v="0"/>
    <n v="0.22"/>
    <n v="439"/>
    <n v="0.21210000000000001"/>
    <n v="0.55000000000000004"/>
    <x v="3"/>
    <x v="4"/>
    <x v="130"/>
    <x v="144"/>
  </r>
  <r>
    <n v="441"/>
    <x v="19"/>
    <n v="1"/>
    <x v="9"/>
    <x v="0"/>
    <x v="5"/>
    <x v="1"/>
    <n v="0.24"/>
    <n v="440"/>
    <n v="0.2273"/>
    <n v="0.52"/>
    <x v="6"/>
    <x v="0"/>
    <x v="131"/>
    <x v="145"/>
  </r>
  <r>
    <n v="442"/>
    <x v="19"/>
    <n v="1"/>
    <x v="10"/>
    <x v="0"/>
    <x v="5"/>
    <x v="0"/>
    <n v="0.26"/>
    <n v="441"/>
    <n v="0.2273"/>
    <n v="0.48"/>
    <x v="4"/>
    <x v="5"/>
    <x v="90"/>
    <x v="52"/>
  </r>
  <r>
    <n v="443"/>
    <x v="19"/>
    <n v="1"/>
    <x v="11"/>
    <x v="0"/>
    <x v="5"/>
    <x v="1"/>
    <n v="0.28000000000000003"/>
    <n v="442"/>
    <n v="0.2727"/>
    <n v="0.45"/>
    <x v="8"/>
    <x v="2"/>
    <x v="36"/>
    <x v="118"/>
  </r>
  <r>
    <n v="444"/>
    <x v="19"/>
    <n v="1"/>
    <x v="12"/>
    <x v="0"/>
    <x v="5"/>
    <x v="1"/>
    <n v="0.3"/>
    <n v="443"/>
    <n v="0.33329999999999999"/>
    <n v="0.42"/>
    <x v="0"/>
    <x v="18"/>
    <x v="99"/>
    <x v="11"/>
  </r>
  <r>
    <n v="445"/>
    <x v="19"/>
    <n v="1"/>
    <x v="13"/>
    <x v="0"/>
    <x v="5"/>
    <x v="1"/>
    <n v="0.28000000000000003"/>
    <n v="444"/>
    <n v="0.28789999999999999"/>
    <n v="0.45"/>
    <x v="14"/>
    <x v="6"/>
    <x v="132"/>
    <x v="95"/>
  </r>
  <r>
    <n v="446"/>
    <x v="19"/>
    <n v="1"/>
    <x v="14"/>
    <x v="0"/>
    <x v="5"/>
    <x v="1"/>
    <n v="0.3"/>
    <n v="445"/>
    <n v="0.30299999999999999"/>
    <n v="0.45"/>
    <x v="7"/>
    <x v="15"/>
    <x v="102"/>
    <x v="117"/>
  </r>
  <r>
    <n v="447"/>
    <x v="19"/>
    <n v="1"/>
    <x v="15"/>
    <x v="0"/>
    <x v="5"/>
    <x v="1"/>
    <n v="0.32"/>
    <n v="446"/>
    <n v="0.31819999999999998"/>
    <n v="0.45"/>
    <x v="5"/>
    <x v="1"/>
    <x v="133"/>
    <x v="27"/>
  </r>
  <r>
    <n v="448"/>
    <x v="19"/>
    <n v="1"/>
    <x v="16"/>
    <x v="0"/>
    <x v="5"/>
    <x v="1"/>
    <n v="0.3"/>
    <n v="447"/>
    <n v="0.30299999999999999"/>
    <n v="0.49"/>
    <x v="7"/>
    <x v="1"/>
    <x v="93"/>
    <x v="134"/>
  </r>
  <r>
    <n v="449"/>
    <x v="19"/>
    <n v="1"/>
    <x v="17"/>
    <x v="0"/>
    <x v="5"/>
    <x v="1"/>
    <n v="0.3"/>
    <n v="448"/>
    <n v="0.31819999999999998"/>
    <n v="0.49"/>
    <x v="14"/>
    <x v="1"/>
    <x v="134"/>
    <x v="146"/>
  </r>
  <r>
    <n v="450"/>
    <x v="19"/>
    <n v="1"/>
    <x v="18"/>
    <x v="0"/>
    <x v="5"/>
    <x v="1"/>
    <n v="0.26"/>
    <n v="449"/>
    <n v="0.2576"/>
    <n v="0.56000000000000005"/>
    <x v="5"/>
    <x v="5"/>
    <x v="103"/>
    <x v="147"/>
  </r>
  <r>
    <n v="451"/>
    <x v="19"/>
    <n v="1"/>
    <x v="19"/>
    <x v="0"/>
    <x v="5"/>
    <x v="0"/>
    <n v="0.26"/>
    <n v="450"/>
    <n v="0.2273"/>
    <n v="0.56000000000000005"/>
    <x v="9"/>
    <x v="15"/>
    <x v="44"/>
    <x v="148"/>
  </r>
  <r>
    <n v="452"/>
    <x v="19"/>
    <n v="1"/>
    <x v="20"/>
    <x v="0"/>
    <x v="5"/>
    <x v="1"/>
    <n v="0.26"/>
    <n v="451"/>
    <n v="0.2424"/>
    <n v="0.6"/>
    <x v="3"/>
    <x v="4"/>
    <x v="125"/>
    <x v="149"/>
  </r>
  <r>
    <n v="453"/>
    <x v="19"/>
    <n v="1"/>
    <x v="21"/>
    <x v="0"/>
    <x v="5"/>
    <x v="1"/>
    <n v="0.24"/>
    <n v="452"/>
    <n v="0.2273"/>
    <n v="0.6"/>
    <x v="2"/>
    <x v="0"/>
    <x v="25"/>
    <x v="52"/>
  </r>
  <r>
    <n v="454"/>
    <x v="19"/>
    <n v="1"/>
    <x v="22"/>
    <x v="0"/>
    <x v="5"/>
    <x v="1"/>
    <n v="0.24"/>
    <n v="453"/>
    <n v="0.21210000000000001"/>
    <n v="0.65"/>
    <x v="3"/>
    <x v="3"/>
    <x v="90"/>
    <x v="10"/>
  </r>
  <r>
    <n v="455"/>
    <x v="19"/>
    <n v="1"/>
    <x v="23"/>
    <x v="0"/>
    <x v="5"/>
    <x v="1"/>
    <n v="0.24"/>
    <n v="454"/>
    <n v="0.21210000000000001"/>
    <n v="0.65"/>
    <x v="9"/>
    <x v="0"/>
    <x v="95"/>
    <x v="35"/>
  </r>
  <r>
    <n v="456"/>
    <x v="20"/>
    <n v="1"/>
    <x v="0"/>
    <x v="0"/>
    <x v="6"/>
    <x v="1"/>
    <n v="0.24"/>
    <n v="455"/>
    <n v="0.2273"/>
    <n v="0.7"/>
    <x v="2"/>
    <x v="5"/>
    <x v="32"/>
    <x v="137"/>
  </r>
  <r>
    <n v="457"/>
    <x v="20"/>
    <n v="1"/>
    <x v="1"/>
    <x v="0"/>
    <x v="6"/>
    <x v="1"/>
    <n v="0.24"/>
    <n v="456"/>
    <n v="0.2273"/>
    <n v="0.7"/>
    <x v="2"/>
    <x v="3"/>
    <x v="8"/>
    <x v="24"/>
  </r>
  <r>
    <n v="458"/>
    <x v="20"/>
    <n v="1"/>
    <x v="2"/>
    <x v="0"/>
    <x v="6"/>
    <x v="2"/>
    <n v="0.24"/>
    <n v="457"/>
    <n v="0.2424"/>
    <n v="0.75"/>
    <x v="8"/>
    <x v="3"/>
    <x v="6"/>
    <x v="5"/>
  </r>
  <r>
    <n v="459"/>
    <x v="20"/>
    <n v="1"/>
    <x v="3"/>
    <x v="0"/>
    <x v="6"/>
    <x v="2"/>
    <n v="0.22"/>
    <n v="458"/>
    <n v="0.21210000000000001"/>
    <n v="0.8"/>
    <x v="4"/>
    <x v="3"/>
    <x v="4"/>
    <x v="4"/>
  </r>
  <r>
    <n v="460"/>
    <x v="20"/>
    <n v="1"/>
    <x v="4"/>
    <x v="0"/>
    <x v="6"/>
    <x v="1"/>
    <n v="0.22"/>
    <n v="459"/>
    <n v="0.2576"/>
    <n v="0.87"/>
    <x v="1"/>
    <x v="3"/>
    <x v="4"/>
    <x v="4"/>
  </r>
  <r>
    <n v="461"/>
    <x v="20"/>
    <n v="1"/>
    <x v="5"/>
    <x v="0"/>
    <x v="6"/>
    <x v="0"/>
    <n v="0.24"/>
    <n v="460"/>
    <n v="0.19700000000000001"/>
    <n v="0.6"/>
    <x v="12"/>
    <x v="5"/>
    <x v="22"/>
    <x v="36"/>
  </r>
  <r>
    <n v="462"/>
    <x v="20"/>
    <n v="1"/>
    <x v="6"/>
    <x v="0"/>
    <x v="6"/>
    <x v="0"/>
    <n v="0.22"/>
    <n v="461"/>
    <n v="0.21210000000000001"/>
    <n v="0.55000000000000004"/>
    <x v="2"/>
    <x v="3"/>
    <x v="2"/>
    <x v="110"/>
  </r>
  <r>
    <n v="463"/>
    <x v="20"/>
    <n v="1"/>
    <x v="7"/>
    <x v="0"/>
    <x v="6"/>
    <x v="0"/>
    <n v="0.2"/>
    <n v="462"/>
    <n v="0.18179999999999999"/>
    <n v="0.51"/>
    <x v="3"/>
    <x v="4"/>
    <x v="43"/>
    <x v="118"/>
  </r>
  <r>
    <n v="464"/>
    <x v="20"/>
    <n v="1"/>
    <x v="8"/>
    <x v="0"/>
    <x v="6"/>
    <x v="0"/>
    <n v="0.2"/>
    <n v="463"/>
    <n v="0.18179999999999999"/>
    <n v="0.47"/>
    <x v="9"/>
    <x v="18"/>
    <x v="135"/>
    <x v="112"/>
  </r>
  <r>
    <n v="465"/>
    <x v="20"/>
    <n v="1"/>
    <x v="9"/>
    <x v="0"/>
    <x v="6"/>
    <x v="0"/>
    <n v="0.2"/>
    <n v="464"/>
    <n v="0.18179999999999999"/>
    <n v="0.51"/>
    <x v="11"/>
    <x v="18"/>
    <x v="136"/>
    <x v="150"/>
  </r>
  <r>
    <n v="466"/>
    <x v="20"/>
    <n v="1"/>
    <x v="10"/>
    <x v="0"/>
    <x v="6"/>
    <x v="0"/>
    <n v="0.2"/>
    <n v="465"/>
    <n v="0.16669999999999999"/>
    <n v="0.47"/>
    <x v="17"/>
    <x v="15"/>
    <x v="77"/>
    <x v="55"/>
  </r>
  <r>
    <n v="467"/>
    <x v="20"/>
    <n v="1"/>
    <x v="11"/>
    <x v="0"/>
    <x v="6"/>
    <x v="0"/>
    <n v="0.22"/>
    <n v="466"/>
    <n v="0.18179999999999999"/>
    <n v="0.41"/>
    <x v="17"/>
    <x v="15"/>
    <x v="42"/>
    <x v="29"/>
  </r>
  <r>
    <n v="468"/>
    <x v="20"/>
    <n v="1"/>
    <x v="12"/>
    <x v="0"/>
    <x v="6"/>
    <x v="0"/>
    <n v="0.22"/>
    <n v="467"/>
    <n v="0.18179999999999999"/>
    <n v="0.27"/>
    <x v="19"/>
    <x v="16"/>
    <x v="28"/>
    <x v="53"/>
  </r>
  <r>
    <n v="469"/>
    <x v="20"/>
    <n v="1"/>
    <x v="13"/>
    <x v="0"/>
    <x v="6"/>
    <x v="0"/>
    <n v="0.2"/>
    <n v="468"/>
    <n v="0.1515"/>
    <n v="0.21"/>
    <x v="19"/>
    <x v="1"/>
    <x v="65"/>
    <x v="88"/>
  </r>
  <r>
    <n v="470"/>
    <x v="20"/>
    <n v="1"/>
    <x v="14"/>
    <x v="0"/>
    <x v="6"/>
    <x v="0"/>
    <n v="0.2"/>
    <n v="469"/>
    <n v="0.1515"/>
    <n v="0.25"/>
    <x v="18"/>
    <x v="15"/>
    <x v="90"/>
    <x v="69"/>
  </r>
  <r>
    <n v="471"/>
    <x v="20"/>
    <n v="1"/>
    <x v="15"/>
    <x v="0"/>
    <x v="6"/>
    <x v="0"/>
    <n v="0.16"/>
    <n v="470"/>
    <n v="0.1212"/>
    <n v="0.26"/>
    <x v="10"/>
    <x v="17"/>
    <x v="124"/>
    <x v="32"/>
  </r>
  <r>
    <n v="472"/>
    <x v="20"/>
    <n v="1"/>
    <x v="16"/>
    <x v="0"/>
    <x v="6"/>
    <x v="0"/>
    <n v="0.16"/>
    <n v="471"/>
    <n v="0.13639999999999999"/>
    <n v="0.26"/>
    <x v="11"/>
    <x v="3"/>
    <x v="106"/>
    <x v="54"/>
  </r>
  <r>
    <n v="473"/>
    <x v="20"/>
    <n v="1"/>
    <x v="17"/>
    <x v="0"/>
    <x v="6"/>
    <x v="0"/>
    <n v="0.14000000000000001"/>
    <n v="472"/>
    <n v="0.1212"/>
    <n v="0.28000000000000003"/>
    <x v="11"/>
    <x v="22"/>
    <x v="137"/>
    <x v="143"/>
  </r>
  <r>
    <n v="474"/>
    <x v="20"/>
    <n v="1"/>
    <x v="18"/>
    <x v="0"/>
    <x v="6"/>
    <x v="0"/>
    <n v="0.12"/>
    <n v="473"/>
    <n v="0.1212"/>
    <n v="0.3"/>
    <x v="2"/>
    <x v="5"/>
    <x v="138"/>
    <x v="151"/>
  </r>
  <r>
    <n v="475"/>
    <x v="20"/>
    <n v="1"/>
    <x v="19"/>
    <x v="0"/>
    <x v="6"/>
    <x v="0"/>
    <n v="0.12"/>
    <n v="474"/>
    <n v="0.1061"/>
    <n v="0.3"/>
    <x v="9"/>
    <x v="0"/>
    <x v="139"/>
    <x v="152"/>
  </r>
  <r>
    <n v="476"/>
    <x v="20"/>
    <n v="1"/>
    <x v="20"/>
    <x v="0"/>
    <x v="6"/>
    <x v="0"/>
    <n v="0.1"/>
    <n v="475"/>
    <n v="7.5800000000000006E-2"/>
    <n v="0.33"/>
    <x v="12"/>
    <x v="5"/>
    <x v="15"/>
    <x v="26"/>
  </r>
  <r>
    <n v="477"/>
    <x v="20"/>
    <n v="1"/>
    <x v="21"/>
    <x v="0"/>
    <x v="6"/>
    <x v="0"/>
    <n v="0.08"/>
    <n v="476"/>
    <n v="7.5800000000000006E-2"/>
    <n v="0.38"/>
    <x v="3"/>
    <x v="3"/>
    <x v="40"/>
    <x v="102"/>
  </r>
  <r>
    <n v="478"/>
    <x v="20"/>
    <n v="1"/>
    <x v="22"/>
    <x v="0"/>
    <x v="6"/>
    <x v="0"/>
    <n v="0.06"/>
    <n v="477"/>
    <n v="3.0300000000000001E-2"/>
    <n v="0.41"/>
    <x v="13"/>
    <x v="5"/>
    <x v="39"/>
    <x v="19"/>
  </r>
  <r>
    <n v="479"/>
    <x v="20"/>
    <n v="1"/>
    <x v="23"/>
    <x v="0"/>
    <x v="6"/>
    <x v="0"/>
    <n v="0.06"/>
    <n v="478"/>
    <n v="4.5499999999999999E-2"/>
    <n v="0.38"/>
    <x v="9"/>
    <x v="3"/>
    <x v="2"/>
    <x v="110"/>
  </r>
  <r>
    <n v="480"/>
    <x v="21"/>
    <n v="1"/>
    <x v="0"/>
    <x v="0"/>
    <x v="0"/>
    <x v="0"/>
    <n v="0.04"/>
    <n v="479"/>
    <n v="3.0300000000000001E-2"/>
    <n v="0.45"/>
    <x v="2"/>
    <x v="3"/>
    <x v="0"/>
    <x v="3"/>
  </r>
  <r>
    <n v="481"/>
    <x v="21"/>
    <n v="1"/>
    <x v="1"/>
    <x v="0"/>
    <x v="0"/>
    <x v="1"/>
    <n v="0.04"/>
    <n v="480"/>
    <n v="0"/>
    <n v="0.41"/>
    <x v="13"/>
    <x v="0"/>
    <x v="33"/>
    <x v="47"/>
  </r>
  <r>
    <n v="482"/>
    <x v="21"/>
    <n v="1"/>
    <x v="2"/>
    <x v="0"/>
    <x v="0"/>
    <x v="1"/>
    <n v="0.04"/>
    <n v="481"/>
    <n v="3.0300000000000001E-2"/>
    <n v="0.41"/>
    <x v="2"/>
    <x v="3"/>
    <x v="48"/>
    <x v="62"/>
  </r>
  <r>
    <n v="483"/>
    <x v="21"/>
    <n v="1"/>
    <x v="3"/>
    <x v="0"/>
    <x v="0"/>
    <x v="1"/>
    <n v="0.04"/>
    <n v="482"/>
    <n v="3.0300000000000001E-2"/>
    <n v="0.41"/>
    <x v="3"/>
    <x v="5"/>
    <x v="8"/>
    <x v="85"/>
  </r>
  <r>
    <n v="484"/>
    <x v="21"/>
    <n v="1"/>
    <x v="4"/>
    <x v="0"/>
    <x v="0"/>
    <x v="1"/>
    <n v="0.02"/>
    <n v="483"/>
    <n v="1.52E-2"/>
    <n v="0.48"/>
    <x v="4"/>
    <x v="3"/>
    <x v="35"/>
    <x v="6"/>
  </r>
  <r>
    <n v="485"/>
    <x v="21"/>
    <n v="1"/>
    <x v="6"/>
    <x v="0"/>
    <x v="0"/>
    <x v="1"/>
    <n v="0.02"/>
    <n v="484"/>
    <n v="3.0300000000000001E-2"/>
    <n v="0.44"/>
    <x v="6"/>
    <x v="3"/>
    <x v="6"/>
    <x v="5"/>
  </r>
  <r>
    <n v="486"/>
    <x v="21"/>
    <n v="1"/>
    <x v="7"/>
    <x v="0"/>
    <x v="0"/>
    <x v="0"/>
    <n v="0.02"/>
    <n v="485"/>
    <n v="1.52E-2"/>
    <n v="0.44"/>
    <x v="3"/>
    <x v="3"/>
    <x v="21"/>
    <x v="7"/>
  </r>
  <r>
    <n v="487"/>
    <x v="21"/>
    <n v="1"/>
    <x v="8"/>
    <x v="0"/>
    <x v="0"/>
    <x v="0"/>
    <n v="0.02"/>
    <n v="486"/>
    <n v="0"/>
    <n v="0.44"/>
    <x v="9"/>
    <x v="5"/>
    <x v="16"/>
    <x v="110"/>
  </r>
  <r>
    <n v="488"/>
    <x v="21"/>
    <n v="1"/>
    <x v="9"/>
    <x v="0"/>
    <x v="0"/>
    <x v="0"/>
    <n v="0.04"/>
    <n v="487"/>
    <n v="3.0300000000000001E-2"/>
    <n v="0.41"/>
    <x v="2"/>
    <x v="0"/>
    <x v="53"/>
    <x v="1"/>
  </r>
  <r>
    <n v="489"/>
    <x v="21"/>
    <n v="1"/>
    <x v="10"/>
    <x v="0"/>
    <x v="0"/>
    <x v="1"/>
    <n v="0.04"/>
    <n v="488"/>
    <n v="6.0600000000000001E-2"/>
    <n v="0.41"/>
    <x v="8"/>
    <x v="0"/>
    <x v="54"/>
    <x v="26"/>
  </r>
  <r>
    <n v="490"/>
    <x v="21"/>
    <n v="1"/>
    <x v="11"/>
    <x v="0"/>
    <x v="0"/>
    <x v="1"/>
    <n v="0.06"/>
    <n v="489"/>
    <n v="7.5800000000000006E-2"/>
    <n v="0.38"/>
    <x v="7"/>
    <x v="17"/>
    <x v="79"/>
    <x v="55"/>
  </r>
  <r>
    <n v="491"/>
    <x v="21"/>
    <n v="1"/>
    <x v="12"/>
    <x v="0"/>
    <x v="0"/>
    <x v="1"/>
    <n v="0.06"/>
    <n v="490"/>
    <n v="0.1061"/>
    <n v="0.38"/>
    <x v="14"/>
    <x v="22"/>
    <x v="91"/>
    <x v="27"/>
  </r>
  <r>
    <n v="492"/>
    <x v="21"/>
    <n v="1"/>
    <x v="13"/>
    <x v="0"/>
    <x v="0"/>
    <x v="0"/>
    <n v="0.08"/>
    <n v="491"/>
    <n v="0.16669999999999999"/>
    <n v="0.35"/>
    <x v="0"/>
    <x v="6"/>
    <x v="109"/>
    <x v="11"/>
  </r>
  <r>
    <n v="493"/>
    <x v="21"/>
    <n v="1"/>
    <x v="14"/>
    <x v="0"/>
    <x v="0"/>
    <x v="0"/>
    <n v="0.1"/>
    <n v="492"/>
    <n v="0.13639999999999999"/>
    <n v="0.33"/>
    <x v="14"/>
    <x v="16"/>
    <x v="27"/>
    <x v="28"/>
  </r>
  <r>
    <n v="494"/>
    <x v="21"/>
    <n v="1"/>
    <x v="15"/>
    <x v="0"/>
    <x v="0"/>
    <x v="0"/>
    <n v="0.12"/>
    <n v="493"/>
    <n v="0.1515"/>
    <n v="0.28000000000000003"/>
    <x v="0"/>
    <x v="22"/>
    <x v="139"/>
    <x v="153"/>
  </r>
  <r>
    <n v="495"/>
    <x v="21"/>
    <n v="1"/>
    <x v="16"/>
    <x v="0"/>
    <x v="0"/>
    <x v="0"/>
    <n v="0.12"/>
    <n v="494"/>
    <n v="0.13639999999999999"/>
    <n v="0.28000000000000003"/>
    <x v="5"/>
    <x v="16"/>
    <x v="109"/>
    <x v="56"/>
  </r>
  <r>
    <n v="496"/>
    <x v="21"/>
    <n v="1"/>
    <x v="17"/>
    <x v="0"/>
    <x v="0"/>
    <x v="0"/>
    <n v="0.12"/>
    <n v="495"/>
    <n v="0.19700000000000001"/>
    <n v="0.28000000000000003"/>
    <x v="0"/>
    <x v="1"/>
    <x v="79"/>
    <x v="16"/>
  </r>
  <r>
    <n v="497"/>
    <x v="21"/>
    <n v="1"/>
    <x v="18"/>
    <x v="0"/>
    <x v="0"/>
    <x v="0"/>
    <n v="0.08"/>
    <n v="496"/>
    <n v="9.0899999999999995E-2"/>
    <n v="0.35"/>
    <x v="5"/>
    <x v="3"/>
    <x v="25"/>
    <x v="60"/>
  </r>
  <r>
    <n v="498"/>
    <x v="21"/>
    <n v="1"/>
    <x v="19"/>
    <x v="0"/>
    <x v="0"/>
    <x v="0"/>
    <n v="0.08"/>
    <n v="497"/>
    <n v="0.1061"/>
    <n v="0.35"/>
    <x v="7"/>
    <x v="15"/>
    <x v="42"/>
    <x v="29"/>
  </r>
  <r>
    <n v="499"/>
    <x v="21"/>
    <n v="1"/>
    <x v="20"/>
    <x v="0"/>
    <x v="0"/>
    <x v="0"/>
    <n v="0.06"/>
    <n v="498"/>
    <n v="7.5800000000000006E-2"/>
    <n v="0.45"/>
    <x v="8"/>
    <x v="5"/>
    <x v="100"/>
    <x v="79"/>
  </r>
  <r>
    <n v="500"/>
    <x v="21"/>
    <n v="1"/>
    <x v="21"/>
    <x v="0"/>
    <x v="0"/>
    <x v="0"/>
    <n v="0.06"/>
    <n v="499"/>
    <n v="0.1061"/>
    <n v="0.41"/>
    <x v="1"/>
    <x v="3"/>
    <x v="87"/>
    <x v="21"/>
  </r>
  <r>
    <n v="501"/>
    <x v="21"/>
    <n v="1"/>
    <x v="22"/>
    <x v="0"/>
    <x v="0"/>
    <x v="0"/>
    <n v="0.06"/>
    <n v="500"/>
    <n v="0.1515"/>
    <n v="0.49"/>
    <x v="0"/>
    <x v="18"/>
    <x v="140"/>
    <x v="33"/>
  </r>
  <r>
    <n v="502"/>
    <x v="21"/>
    <n v="1"/>
    <x v="23"/>
    <x v="0"/>
    <x v="0"/>
    <x v="0"/>
    <n v="0.04"/>
    <n v="501"/>
    <n v="7.5800000000000006E-2"/>
    <n v="0.56999999999999995"/>
    <x v="14"/>
    <x v="4"/>
    <x v="17"/>
    <x v="63"/>
  </r>
  <r>
    <n v="503"/>
    <x v="22"/>
    <n v="1"/>
    <x v="0"/>
    <x v="0"/>
    <x v="1"/>
    <x v="0"/>
    <n v="0.04"/>
    <n v="502"/>
    <n v="7.5800000000000006E-2"/>
    <n v="0.56999999999999995"/>
    <x v="14"/>
    <x v="4"/>
    <x v="32"/>
    <x v="34"/>
  </r>
  <r>
    <n v="504"/>
    <x v="22"/>
    <n v="1"/>
    <x v="1"/>
    <x v="0"/>
    <x v="1"/>
    <x v="0"/>
    <n v="0.04"/>
    <n v="503"/>
    <n v="7.5800000000000006E-2"/>
    <n v="0.56999999999999995"/>
    <x v="14"/>
    <x v="5"/>
    <x v="98"/>
    <x v="3"/>
  </r>
  <r>
    <n v="505"/>
    <x v="22"/>
    <n v="1"/>
    <x v="2"/>
    <x v="0"/>
    <x v="1"/>
    <x v="0"/>
    <n v="0.02"/>
    <n v="504"/>
    <n v="6.0600000000000001E-2"/>
    <n v="0.62"/>
    <x v="7"/>
    <x v="0"/>
    <x v="89"/>
    <x v="109"/>
  </r>
  <r>
    <n v="506"/>
    <x v="22"/>
    <n v="1"/>
    <x v="3"/>
    <x v="0"/>
    <x v="1"/>
    <x v="0"/>
    <n v="0.02"/>
    <n v="505"/>
    <n v="6.0600000000000001E-2"/>
    <n v="0.62"/>
    <x v="7"/>
    <x v="5"/>
    <x v="22"/>
    <x v="36"/>
  </r>
  <r>
    <n v="507"/>
    <x v="22"/>
    <n v="1"/>
    <x v="5"/>
    <x v="0"/>
    <x v="1"/>
    <x v="1"/>
    <n v="0.04"/>
    <n v="506"/>
    <n v="7.5800000000000006E-2"/>
    <n v="0.56999999999999995"/>
    <x v="14"/>
    <x v="3"/>
    <x v="35"/>
    <x v="6"/>
  </r>
  <r>
    <n v="508"/>
    <x v="22"/>
    <n v="1"/>
    <x v="6"/>
    <x v="0"/>
    <x v="1"/>
    <x v="1"/>
    <n v="0.04"/>
    <n v="507"/>
    <n v="7.5800000000000006E-2"/>
    <n v="0.56999999999999995"/>
    <x v="14"/>
    <x v="3"/>
    <x v="4"/>
    <x v="4"/>
  </r>
  <r>
    <n v="509"/>
    <x v="22"/>
    <n v="1"/>
    <x v="7"/>
    <x v="0"/>
    <x v="1"/>
    <x v="0"/>
    <n v="0.08"/>
    <n v="508"/>
    <n v="0.1061"/>
    <n v="0.57999999999999996"/>
    <x v="8"/>
    <x v="5"/>
    <x v="4"/>
    <x v="5"/>
  </r>
  <r>
    <n v="510"/>
    <x v="22"/>
    <n v="1"/>
    <x v="8"/>
    <x v="0"/>
    <x v="1"/>
    <x v="0"/>
    <n v="0.06"/>
    <n v="509"/>
    <n v="7.5800000000000006E-2"/>
    <n v="0.62"/>
    <x v="8"/>
    <x v="4"/>
    <x v="19"/>
    <x v="75"/>
  </r>
  <r>
    <n v="511"/>
    <x v="22"/>
    <n v="1"/>
    <x v="9"/>
    <x v="0"/>
    <x v="1"/>
    <x v="0"/>
    <n v="0.1"/>
    <n v="510"/>
    <n v="7.5800000000000006E-2"/>
    <n v="0.54"/>
    <x v="11"/>
    <x v="0"/>
    <x v="18"/>
    <x v="20"/>
  </r>
  <r>
    <n v="512"/>
    <x v="22"/>
    <n v="1"/>
    <x v="10"/>
    <x v="0"/>
    <x v="1"/>
    <x v="0"/>
    <n v="0.14000000000000001"/>
    <n v="511"/>
    <n v="0.1061"/>
    <n v="0.46"/>
    <x v="13"/>
    <x v="18"/>
    <x v="82"/>
    <x v="154"/>
  </r>
  <r>
    <n v="513"/>
    <x v="22"/>
    <n v="1"/>
    <x v="11"/>
    <x v="0"/>
    <x v="1"/>
    <x v="0"/>
    <n v="0.14000000000000001"/>
    <n v="512"/>
    <n v="0.13639999999999999"/>
    <n v="0.43"/>
    <x v="6"/>
    <x v="30"/>
    <x v="99"/>
    <x v="111"/>
  </r>
  <r>
    <n v="514"/>
    <x v="22"/>
    <n v="1"/>
    <x v="12"/>
    <x v="0"/>
    <x v="1"/>
    <x v="0"/>
    <n v="0.16"/>
    <n v="513"/>
    <n v="0.1212"/>
    <n v="0.37"/>
    <x v="17"/>
    <x v="31"/>
    <x v="50"/>
    <x v="155"/>
  </r>
  <r>
    <n v="515"/>
    <x v="22"/>
    <n v="1"/>
    <x v="13"/>
    <x v="0"/>
    <x v="1"/>
    <x v="0"/>
    <n v="0.14000000000000001"/>
    <n v="514"/>
    <n v="0.1061"/>
    <n v="0.33"/>
    <x v="13"/>
    <x v="6"/>
    <x v="102"/>
    <x v="90"/>
  </r>
  <r>
    <n v="516"/>
    <x v="22"/>
    <n v="1"/>
    <x v="14"/>
    <x v="0"/>
    <x v="1"/>
    <x v="0"/>
    <n v="0.16"/>
    <n v="515"/>
    <n v="0.13639999999999999"/>
    <n v="0.28000000000000003"/>
    <x v="11"/>
    <x v="26"/>
    <x v="139"/>
    <x v="14"/>
  </r>
  <r>
    <n v="517"/>
    <x v="22"/>
    <n v="1"/>
    <x v="15"/>
    <x v="0"/>
    <x v="1"/>
    <x v="0"/>
    <n v="0.16"/>
    <n v="516"/>
    <n v="0.13639999999999999"/>
    <n v="0.28000000000000003"/>
    <x v="11"/>
    <x v="23"/>
    <x v="27"/>
    <x v="43"/>
  </r>
  <r>
    <n v="518"/>
    <x v="22"/>
    <n v="1"/>
    <x v="16"/>
    <x v="0"/>
    <x v="1"/>
    <x v="0"/>
    <n v="0.16"/>
    <n v="517"/>
    <n v="0.13639999999999999"/>
    <n v="0.26"/>
    <x v="9"/>
    <x v="14"/>
    <x v="90"/>
    <x v="32"/>
  </r>
  <r>
    <n v="519"/>
    <x v="22"/>
    <n v="1"/>
    <x v="17"/>
    <x v="0"/>
    <x v="1"/>
    <x v="0"/>
    <n v="0.14000000000000001"/>
    <n v="518"/>
    <n v="0.1061"/>
    <n v="0.26"/>
    <x v="13"/>
    <x v="2"/>
    <x v="54"/>
    <x v="97"/>
  </r>
  <r>
    <n v="520"/>
    <x v="22"/>
    <n v="1"/>
    <x v="18"/>
    <x v="0"/>
    <x v="1"/>
    <x v="0"/>
    <n v="0.12"/>
    <n v="519"/>
    <n v="0.1212"/>
    <n v="0.3"/>
    <x v="2"/>
    <x v="2"/>
    <x v="100"/>
    <x v="99"/>
  </r>
  <r>
    <n v="521"/>
    <x v="22"/>
    <n v="1"/>
    <x v="19"/>
    <x v="0"/>
    <x v="1"/>
    <x v="0"/>
    <n v="0.12"/>
    <n v="520"/>
    <n v="0.1212"/>
    <n v="0.3"/>
    <x v="3"/>
    <x v="2"/>
    <x v="108"/>
    <x v="89"/>
  </r>
  <r>
    <n v="522"/>
    <x v="22"/>
    <n v="1"/>
    <x v="20"/>
    <x v="0"/>
    <x v="1"/>
    <x v="0"/>
    <n v="0.1"/>
    <n v="521"/>
    <n v="0.1061"/>
    <n v="0.36"/>
    <x v="2"/>
    <x v="17"/>
    <x v="17"/>
    <x v="17"/>
  </r>
  <r>
    <n v="523"/>
    <x v="22"/>
    <n v="1"/>
    <x v="21"/>
    <x v="0"/>
    <x v="1"/>
    <x v="0"/>
    <n v="0.1"/>
    <n v="522"/>
    <n v="0.1061"/>
    <n v="0.36"/>
    <x v="5"/>
    <x v="2"/>
    <x v="32"/>
    <x v="94"/>
  </r>
  <r>
    <n v="524"/>
    <x v="22"/>
    <n v="1"/>
    <x v="22"/>
    <x v="0"/>
    <x v="1"/>
    <x v="0"/>
    <n v="0.08"/>
    <n v="523"/>
    <n v="9.0899999999999995E-2"/>
    <n v="0.38"/>
    <x v="5"/>
    <x v="2"/>
    <x v="140"/>
    <x v="20"/>
  </r>
  <r>
    <n v="525"/>
    <x v="22"/>
    <n v="1"/>
    <x v="23"/>
    <x v="0"/>
    <x v="1"/>
    <x v="0"/>
    <n v="0.06"/>
    <n v="524"/>
    <n v="6.0600000000000001E-2"/>
    <n v="0.41"/>
    <x v="6"/>
    <x v="17"/>
    <x v="19"/>
    <x v="137"/>
  </r>
  <r>
    <n v="526"/>
    <x v="23"/>
    <n v="1"/>
    <x v="0"/>
    <x v="0"/>
    <x v="2"/>
    <x v="0"/>
    <n v="0.06"/>
    <n v="525"/>
    <n v="6.0600000000000001E-2"/>
    <n v="0.41"/>
    <x v="5"/>
    <x v="3"/>
    <x v="7"/>
    <x v="85"/>
  </r>
  <r>
    <n v="527"/>
    <x v="23"/>
    <n v="1"/>
    <x v="1"/>
    <x v="0"/>
    <x v="2"/>
    <x v="0"/>
    <n v="0.04"/>
    <n v="526"/>
    <n v="4.5499999999999999E-2"/>
    <n v="0.45"/>
    <x v="5"/>
    <x v="3"/>
    <x v="4"/>
    <x v="4"/>
  </r>
  <r>
    <n v="528"/>
    <x v="23"/>
    <n v="1"/>
    <x v="3"/>
    <x v="0"/>
    <x v="2"/>
    <x v="0"/>
    <n v="0.04"/>
    <n v="527"/>
    <n v="3.0300000000000001E-2"/>
    <n v="0.45"/>
    <x v="2"/>
    <x v="3"/>
    <x v="4"/>
    <x v="4"/>
  </r>
  <r>
    <n v="529"/>
    <x v="23"/>
    <n v="1"/>
    <x v="4"/>
    <x v="0"/>
    <x v="2"/>
    <x v="0"/>
    <n v="0.02"/>
    <n v="528"/>
    <n v="6.0600000000000001E-2"/>
    <n v="0.48"/>
    <x v="7"/>
    <x v="3"/>
    <x v="4"/>
    <x v="4"/>
  </r>
  <r>
    <n v="530"/>
    <x v="23"/>
    <n v="1"/>
    <x v="5"/>
    <x v="0"/>
    <x v="2"/>
    <x v="0"/>
    <n v="0.02"/>
    <n v="529"/>
    <n v="6.0600000000000001E-2"/>
    <n v="0.48"/>
    <x v="7"/>
    <x v="3"/>
    <x v="34"/>
    <x v="36"/>
  </r>
  <r>
    <n v="531"/>
    <x v="23"/>
    <n v="1"/>
    <x v="6"/>
    <x v="0"/>
    <x v="2"/>
    <x v="0"/>
    <n v="0.02"/>
    <n v="530"/>
    <n v="7.5800000000000006E-2"/>
    <n v="0.48"/>
    <x v="1"/>
    <x v="3"/>
    <x v="89"/>
    <x v="93"/>
  </r>
  <r>
    <n v="532"/>
    <x v="23"/>
    <n v="1"/>
    <x v="7"/>
    <x v="0"/>
    <x v="2"/>
    <x v="0"/>
    <n v="0.02"/>
    <n v="531"/>
    <n v="0.1212"/>
    <n v="0.48"/>
    <x v="0"/>
    <x v="2"/>
    <x v="55"/>
    <x v="11"/>
  </r>
  <r>
    <n v="533"/>
    <x v="23"/>
    <n v="1"/>
    <x v="8"/>
    <x v="0"/>
    <x v="2"/>
    <x v="0"/>
    <n v="0.04"/>
    <n v="532"/>
    <n v="0.13639999999999999"/>
    <n v="0.49"/>
    <x v="0"/>
    <x v="15"/>
    <x v="141"/>
    <x v="156"/>
  </r>
  <r>
    <n v="534"/>
    <x v="23"/>
    <n v="1"/>
    <x v="9"/>
    <x v="0"/>
    <x v="2"/>
    <x v="0"/>
    <n v="0.06"/>
    <n v="533"/>
    <n v="0.1515"/>
    <n v="0.41"/>
    <x v="0"/>
    <x v="17"/>
    <x v="52"/>
    <x v="96"/>
  </r>
  <r>
    <n v="535"/>
    <x v="23"/>
    <n v="1"/>
    <x v="10"/>
    <x v="0"/>
    <x v="2"/>
    <x v="0"/>
    <n v="0.1"/>
    <n v="534"/>
    <n v="0.13639999999999999"/>
    <n v="0.42"/>
    <x v="0"/>
    <x v="15"/>
    <x v="60"/>
    <x v="1"/>
  </r>
  <r>
    <n v="536"/>
    <x v="23"/>
    <n v="1"/>
    <x v="11"/>
    <x v="0"/>
    <x v="2"/>
    <x v="0"/>
    <n v="0.1"/>
    <n v="535"/>
    <n v="0.1212"/>
    <n v="0.46"/>
    <x v="7"/>
    <x v="0"/>
    <x v="30"/>
    <x v="66"/>
  </r>
  <r>
    <n v="537"/>
    <x v="23"/>
    <n v="1"/>
    <x v="12"/>
    <x v="0"/>
    <x v="2"/>
    <x v="1"/>
    <n v="0.12"/>
    <n v="536"/>
    <n v="0.13639999999999999"/>
    <n v="0.42"/>
    <x v="5"/>
    <x v="16"/>
    <x v="15"/>
    <x v="55"/>
  </r>
  <r>
    <n v="538"/>
    <x v="23"/>
    <n v="1"/>
    <x v="13"/>
    <x v="0"/>
    <x v="2"/>
    <x v="1"/>
    <n v="0.14000000000000001"/>
    <n v="537"/>
    <n v="0.13639999999999999"/>
    <n v="0.43"/>
    <x v="6"/>
    <x v="15"/>
    <x v="25"/>
    <x v="122"/>
  </r>
  <r>
    <n v="539"/>
    <x v="23"/>
    <n v="1"/>
    <x v="14"/>
    <x v="0"/>
    <x v="2"/>
    <x v="1"/>
    <n v="0.14000000000000001"/>
    <n v="538"/>
    <n v="0.13639999999999999"/>
    <n v="0.46"/>
    <x v="6"/>
    <x v="4"/>
    <x v="30"/>
    <x v="79"/>
  </r>
  <r>
    <n v="540"/>
    <x v="23"/>
    <n v="1"/>
    <x v="15"/>
    <x v="0"/>
    <x v="2"/>
    <x v="0"/>
    <n v="0.16"/>
    <n v="539"/>
    <n v="0.16669999999999999"/>
    <n v="0.4"/>
    <x v="8"/>
    <x v="18"/>
    <x v="54"/>
    <x v="52"/>
  </r>
  <r>
    <n v="541"/>
    <x v="23"/>
    <n v="1"/>
    <x v="16"/>
    <x v="0"/>
    <x v="2"/>
    <x v="0"/>
    <n v="0.16"/>
    <n v="540"/>
    <n v="0.1515"/>
    <n v="0.47"/>
    <x v="2"/>
    <x v="17"/>
    <x v="43"/>
    <x v="27"/>
  </r>
  <r>
    <n v="542"/>
    <x v="23"/>
    <n v="1"/>
    <x v="17"/>
    <x v="0"/>
    <x v="2"/>
    <x v="0"/>
    <n v="0.14000000000000001"/>
    <n v="541"/>
    <n v="0.1212"/>
    <n v="0.5"/>
    <x v="2"/>
    <x v="15"/>
    <x v="86"/>
    <x v="157"/>
  </r>
  <r>
    <n v="543"/>
    <x v="23"/>
    <n v="1"/>
    <x v="18"/>
    <x v="0"/>
    <x v="2"/>
    <x v="0"/>
    <n v="0.14000000000000001"/>
    <n v="542"/>
    <n v="0.13639999999999999"/>
    <n v="0.59"/>
    <x v="5"/>
    <x v="1"/>
    <x v="142"/>
    <x v="158"/>
  </r>
  <r>
    <n v="544"/>
    <x v="23"/>
    <n v="1"/>
    <x v="19"/>
    <x v="0"/>
    <x v="2"/>
    <x v="0"/>
    <n v="0.14000000000000001"/>
    <n v="543"/>
    <n v="0.1515"/>
    <n v="0.54"/>
    <x v="8"/>
    <x v="2"/>
    <x v="143"/>
    <x v="13"/>
  </r>
  <r>
    <n v="545"/>
    <x v="23"/>
    <n v="1"/>
    <x v="20"/>
    <x v="0"/>
    <x v="2"/>
    <x v="0"/>
    <n v="0.14000000000000001"/>
    <n v="544"/>
    <n v="0.13639999999999999"/>
    <n v="0.59"/>
    <x v="5"/>
    <x v="5"/>
    <x v="122"/>
    <x v="117"/>
  </r>
  <r>
    <n v="546"/>
    <x v="23"/>
    <n v="1"/>
    <x v="21"/>
    <x v="0"/>
    <x v="2"/>
    <x v="0"/>
    <n v="0.14000000000000001"/>
    <n v="545"/>
    <n v="0.1515"/>
    <n v="0.63"/>
    <x v="8"/>
    <x v="15"/>
    <x v="42"/>
    <x v="29"/>
  </r>
  <r>
    <n v="547"/>
    <x v="23"/>
    <n v="1"/>
    <x v="22"/>
    <x v="0"/>
    <x v="2"/>
    <x v="1"/>
    <n v="0.14000000000000001"/>
    <n v="546"/>
    <n v="0.13639999999999999"/>
    <n v="0.63"/>
    <x v="6"/>
    <x v="0"/>
    <x v="1"/>
    <x v="17"/>
  </r>
  <r>
    <n v="548"/>
    <x v="23"/>
    <n v="1"/>
    <x v="23"/>
    <x v="0"/>
    <x v="2"/>
    <x v="1"/>
    <n v="0.16"/>
    <n v="547"/>
    <n v="0.1515"/>
    <n v="0.64"/>
    <x v="2"/>
    <x v="0"/>
    <x v="144"/>
    <x v="108"/>
  </r>
  <r>
    <n v="549"/>
    <x v="24"/>
    <n v="1"/>
    <x v="0"/>
    <x v="0"/>
    <x v="3"/>
    <x v="1"/>
    <n v="0.16"/>
    <n v="548"/>
    <n v="0.13639999999999999"/>
    <n v="0.69"/>
    <x v="3"/>
    <x v="0"/>
    <x v="8"/>
    <x v="23"/>
  </r>
  <r>
    <n v="550"/>
    <x v="24"/>
    <n v="1"/>
    <x v="1"/>
    <x v="0"/>
    <x v="3"/>
    <x v="1"/>
    <n v="0.16"/>
    <n v="549"/>
    <n v="0.16669999999999999"/>
    <n v="0.69"/>
    <x v="8"/>
    <x v="3"/>
    <x v="34"/>
    <x v="36"/>
  </r>
  <r>
    <n v="551"/>
    <x v="24"/>
    <n v="1"/>
    <x v="2"/>
    <x v="0"/>
    <x v="3"/>
    <x v="0"/>
    <n v="0.16"/>
    <n v="550"/>
    <n v="0.1515"/>
    <n v="0.69"/>
    <x v="6"/>
    <x v="3"/>
    <x v="6"/>
    <x v="5"/>
  </r>
  <r>
    <n v="552"/>
    <x v="24"/>
    <n v="1"/>
    <x v="4"/>
    <x v="0"/>
    <x v="3"/>
    <x v="0"/>
    <n v="0.14000000000000001"/>
    <n v="551"/>
    <n v="0.16669999999999999"/>
    <n v="0.74"/>
    <x v="14"/>
    <x v="3"/>
    <x v="4"/>
    <x v="4"/>
  </r>
  <r>
    <n v="553"/>
    <x v="24"/>
    <n v="1"/>
    <x v="5"/>
    <x v="0"/>
    <x v="3"/>
    <x v="0"/>
    <n v="0.14000000000000001"/>
    <n v="552"/>
    <n v="0.13639999999999999"/>
    <n v="0.74"/>
    <x v="6"/>
    <x v="3"/>
    <x v="33"/>
    <x v="23"/>
  </r>
  <r>
    <n v="554"/>
    <x v="24"/>
    <n v="1"/>
    <x v="6"/>
    <x v="0"/>
    <x v="3"/>
    <x v="0"/>
    <n v="0.16"/>
    <n v="553"/>
    <n v="0.18179999999999999"/>
    <n v="0.74"/>
    <x v="14"/>
    <x v="5"/>
    <x v="96"/>
    <x v="9"/>
  </r>
  <r>
    <n v="555"/>
    <x v="24"/>
    <n v="1"/>
    <x v="7"/>
    <x v="0"/>
    <x v="3"/>
    <x v="0"/>
    <n v="0.16"/>
    <n v="554"/>
    <n v="0.1515"/>
    <n v="0.74"/>
    <x v="6"/>
    <x v="2"/>
    <x v="145"/>
    <x v="159"/>
  </r>
  <r>
    <n v="556"/>
    <x v="24"/>
    <n v="1"/>
    <x v="8"/>
    <x v="0"/>
    <x v="3"/>
    <x v="1"/>
    <n v="0.16"/>
    <n v="555"/>
    <n v="0.18179999999999999"/>
    <n v="0.74"/>
    <x v="7"/>
    <x v="2"/>
    <x v="146"/>
    <x v="160"/>
  </r>
  <r>
    <n v="557"/>
    <x v="24"/>
    <n v="1"/>
    <x v="9"/>
    <x v="0"/>
    <x v="3"/>
    <x v="1"/>
    <n v="0.2"/>
    <n v="556"/>
    <n v="0.2273"/>
    <n v="0.64"/>
    <x v="1"/>
    <x v="22"/>
    <x v="120"/>
    <x v="124"/>
  </r>
  <r>
    <n v="558"/>
    <x v="24"/>
    <n v="1"/>
    <x v="10"/>
    <x v="0"/>
    <x v="3"/>
    <x v="1"/>
    <n v="0.22"/>
    <n v="557"/>
    <n v="0.2424"/>
    <n v="0.6"/>
    <x v="14"/>
    <x v="15"/>
    <x v="47"/>
    <x v="97"/>
  </r>
  <r>
    <n v="559"/>
    <x v="24"/>
    <n v="1"/>
    <x v="11"/>
    <x v="0"/>
    <x v="3"/>
    <x v="1"/>
    <n v="0.24"/>
    <n v="558"/>
    <n v="0.2424"/>
    <n v="0.6"/>
    <x v="7"/>
    <x v="15"/>
    <x v="11"/>
    <x v="42"/>
  </r>
  <r>
    <n v="560"/>
    <x v="24"/>
    <n v="1"/>
    <x v="12"/>
    <x v="0"/>
    <x v="3"/>
    <x v="1"/>
    <n v="0.26"/>
    <n v="559"/>
    <n v="0.28789999999999999"/>
    <n v="0.56000000000000005"/>
    <x v="1"/>
    <x v="27"/>
    <x v="66"/>
    <x v="13"/>
  </r>
  <r>
    <n v="561"/>
    <x v="24"/>
    <n v="1"/>
    <x v="13"/>
    <x v="0"/>
    <x v="3"/>
    <x v="1"/>
    <n v="0.26"/>
    <n v="560"/>
    <n v="0.2727"/>
    <n v="0.56000000000000005"/>
    <x v="7"/>
    <x v="27"/>
    <x v="109"/>
    <x v="15"/>
  </r>
  <r>
    <n v="562"/>
    <x v="24"/>
    <n v="1"/>
    <x v="14"/>
    <x v="0"/>
    <x v="3"/>
    <x v="1"/>
    <n v="0.3"/>
    <n v="561"/>
    <n v="0.33329999999999999"/>
    <n v="0.45"/>
    <x v="0"/>
    <x v="16"/>
    <x v="77"/>
    <x v="118"/>
  </r>
  <r>
    <n v="563"/>
    <x v="24"/>
    <n v="1"/>
    <x v="15"/>
    <x v="0"/>
    <x v="3"/>
    <x v="1"/>
    <n v="0.32"/>
    <n v="562"/>
    <n v="0.34849999999999998"/>
    <n v="0.42"/>
    <x v="0"/>
    <x v="27"/>
    <x v="36"/>
    <x v="11"/>
  </r>
  <r>
    <n v="564"/>
    <x v="24"/>
    <n v="1"/>
    <x v="16"/>
    <x v="0"/>
    <x v="3"/>
    <x v="1"/>
    <n v="0.32"/>
    <n v="563"/>
    <n v="0.34849999999999998"/>
    <n v="0.42"/>
    <x v="0"/>
    <x v="24"/>
    <x v="46"/>
    <x v="155"/>
  </r>
  <r>
    <n v="565"/>
    <x v="24"/>
    <n v="1"/>
    <x v="17"/>
    <x v="0"/>
    <x v="3"/>
    <x v="0"/>
    <n v="0.3"/>
    <n v="564"/>
    <n v="0.33329999999999999"/>
    <n v="0.45"/>
    <x v="0"/>
    <x v="24"/>
    <x v="147"/>
    <x v="161"/>
  </r>
  <r>
    <n v="566"/>
    <x v="24"/>
    <n v="1"/>
    <x v="18"/>
    <x v="0"/>
    <x v="3"/>
    <x v="1"/>
    <n v="0.3"/>
    <n v="565"/>
    <n v="0.31819999999999998"/>
    <n v="0.49"/>
    <x v="1"/>
    <x v="18"/>
    <x v="148"/>
    <x v="162"/>
  </r>
  <r>
    <n v="567"/>
    <x v="24"/>
    <n v="1"/>
    <x v="19"/>
    <x v="0"/>
    <x v="3"/>
    <x v="1"/>
    <n v="0.26"/>
    <n v="566"/>
    <n v="0.2576"/>
    <n v="0.65"/>
    <x v="8"/>
    <x v="23"/>
    <x v="149"/>
    <x v="163"/>
  </r>
  <r>
    <n v="568"/>
    <x v="24"/>
    <n v="1"/>
    <x v="20"/>
    <x v="0"/>
    <x v="3"/>
    <x v="0"/>
    <n v="0.24"/>
    <n v="567"/>
    <n v="0.2273"/>
    <n v="0.65"/>
    <x v="5"/>
    <x v="19"/>
    <x v="145"/>
    <x v="164"/>
  </r>
  <r>
    <n v="569"/>
    <x v="24"/>
    <n v="1"/>
    <x v="21"/>
    <x v="0"/>
    <x v="3"/>
    <x v="0"/>
    <n v="0.24"/>
    <n v="568"/>
    <n v="0.2273"/>
    <n v="0.65"/>
    <x v="5"/>
    <x v="2"/>
    <x v="71"/>
    <x v="79"/>
  </r>
  <r>
    <n v="570"/>
    <x v="24"/>
    <n v="1"/>
    <x v="22"/>
    <x v="0"/>
    <x v="3"/>
    <x v="0"/>
    <n v="0.22"/>
    <n v="569"/>
    <n v="0.2273"/>
    <n v="0.64"/>
    <x v="8"/>
    <x v="17"/>
    <x v="47"/>
    <x v="26"/>
  </r>
  <r>
    <n v="571"/>
    <x v="24"/>
    <n v="1"/>
    <x v="23"/>
    <x v="0"/>
    <x v="3"/>
    <x v="1"/>
    <n v="0.22"/>
    <n v="570"/>
    <n v="0.2273"/>
    <n v="0.64"/>
    <x v="8"/>
    <x v="0"/>
    <x v="53"/>
    <x v="1"/>
  </r>
  <r>
    <n v="572"/>
    <x v="25"/>
    <n v="1"/>
    <x v="0"/>
    <x v="0"/>
    <x v="4"/>
    <x v="1"/>
    <n v="0.22"/>
    <n v="571"/>
    <n v="0.2273"/>
    <n v="0.69"/>
    <x v="7"/>
    <x v="0"/>
    <x v="88"/>
    <x v="22"/>
  </r>
  <r>
    <n v="573"/>
    <x v="25"/>
    <n v="1"/>
    <x v="1"/>
    <x v="0"/>
    <x v="4"/>
    <x v="1"/>
    <n v="0.24"/>
    <n v="572"/>
    <n v="0.2424"/>
    <n v="0.65"/>
    <x v="7"/>
    <x v="3"/>
    <x v="34"/>
    <x v="36"/>
  </r>
  <r>
    <n v="574"/>
    <x v="25"/>
    <n v="1"/>
    <x v="2"/>
    <x v="0"/>
    <x v="4"/>
    <x v="2"/>
    <n v="0.22"/>
    <n v="573"/>
    <n v="0.2273"/>
    <n v="0.69"/>
    <x v="5"/>
    <x v="0"/>
    <x v="7"/>
    <x v="98"/>
  </r>
  <r>
    <n v="575"/>
    <x v="25"/>
    <n v="1"/>
    <x v="5"/>
    <x v="0"/>
    <x v="4"/>
    <x v="2"/>
    <n v="0.2"/>
    <n v="574"/>
    <n v="0.18179999999999999"/>
    <n v="0.86"/>
    <x v="3"/>
    <x v="3"/>
    <x v="4"/>
    <x v="4"/>
  </r>
  <r>
    <n v="576"/>
    <x v="25"/>
    <n v="1"/>
    <x v="6"/>
    <x v="0"/>
    <x v="4"/>
    <x v="2"/>
    <n v="0.2"/>
    <n v="575"/>
    <n v="0.18179999999999999"/>
    <n v="0.86"/>
    <x v="3"/>
    <x v="3"/>
    <x v="21"/>
    <x v="7"/>
  </r>
  <r>
    <n v="577"/>
    <x v="25"/>
    <n v="1"/>
    <x v="7"/>
    <x v="0"/>
    <x v="4"/>
    <x v="2"/>
    <n v="0.22"/>
    <n v="576"/>
    <n v="0.21210000000000001"/>
    <n v="0.87"/>
    <x v="4"/>
    <x v="5"/>
    <x v="31"/>
    <x v="33"/>
  </r>
  <r>
    <n v="578"/>
    <x v="25"/>
    <n v="1"/>
    <x v="8"/>
    <x v="0"/>
    <x v="4"/>
    <x v="2"/>
    <n v="0.22"/>
    <n v="577"/>
    <n v="0.21210000000000001"/>
    <n v="0.87"/>
    <x v="4"/>
    <x v="0"/>
    <x v="94"/>
    <x v="44"/>
  </r>
  <r>
    <n v="579"/>
    <x v="25"/>
    <n v="1"/>
    <x v="9"/>
    <x v="0"/>
    <x v="4"/>
    <x v="2"/>
    <n v="0.22"/>
    <n v="578"/>
    <n v="0.21210000000000001"/>
    <n v="0.87"/>
    <x v="4"/>
    <x v="0"/>
    <x v="11"/>
    <x v="154"/>
  </r>
  <r>
    <n v="580"/>
    <x v="25"/>
    <n v="1"/>
    <x v="10"/>
    <x v="0"/>
    <x v="4"/>
    <x v="2"/>
    <n v="0.22"/>
    <n v="579"/>
    <n v="0.21210000000000001"/>
    <n v="0.93"/>
    <x v="3"/>
    <x v="4"/>
    <x v="16"/>
    <x v="20"/>
  </r>
  <r>
    <n v="581"/>
    <x v="25"/>
    <n v="1"/>
    <x v="11"/>
    <x v="0"/>
    <x v="4"/>
    <x v="2"/>
    <n v="0.22"/>
    <n v="580"/>
    <n v="0.19700000000000001"/>
    <n v="0.93"/>
    <x v="9"/>
    <x v="15"/>
    <x v="96"/>
    <x v="102"/>
  </r>
  <r>
    <n v="582"/>
    <x v="25"/>
    <n v="1"/>
    <x v="12"/>
    <x v="0"/>
    <x v="4"/>
    <x v="2"/>
    <n v="0.22"/>
    <n v="581"/>
    <n v="0.19700000000000001"/>
    <n v="0.93"/>
    <x v="9"/>
    <x v="18"/>
    <x v="40"/>
    <x v="61"/>
  </r>
  <r>
    <n v="583"/>
    <x v="25"/>
    <n v="1"/>
    <x v="13"/>
    <x v="0"/>
    <x v="4"/>
    <x v="2"/>
    <n v="0.22"/>
    <n v="582"/>
    <n v="0.19700000000000001"/>
    <n v="0.93"/>
    <x v="9"/>
    <x v="17"/>
    <x v="30"/>
    <x v="105"/>
  </r>
  <r>
    <n v="584"/>
    <x v="25"/>
    <n v="1"/>
    <x v="14"/>
    <x v="0"/>
    <x v="4"/>
    <x v="2"/>
    <n v="0.22"/>
    <n v="583"/>
    <n v="0.19700000000000001"/>
    <n v="0.93"/>
    <x v="11"/>
    <x v="3"/>
    <x v="49"/>
    <x v="9"/>
  </r>
  <r>
    <n v="585"/>
    <x v="25"/>
    <n v="1"/>
    <x v="15"/>
    <x v="0"/>
    <x v="4"/>
    <x v="2"/>
    <n v="0.22"/>
    <n v="584"/>
    <n v="0.18179999999999999"/>
    <n v="0.93"/>
    <x v="17"/>
    <x v="5"/>
    <x v="76"/>
    <x v="74"/>
  </r>
  <r>
    <n v="586"/>
    <x v="25"/>
    <n v="1"/>
    <x v="16"/>
    <x v="0"/>
    <x v="4"/>
    <x v="3"/>
    <n v="0.22"/>
    <n v="585"/>
    <n v="0.19700000000000001"/>
    <n v="0.93"/>
    <x v="9"/>
    <x v="5"/>
    <x v="96"/>
    <x v="9"/>
  </r>
  <r>
    <n v="587"/>
    <x v="25"/>
    <n v="1"/>
    <x v="17"/>
    <x v="0"/>
    <x v="4"/>
    <x v="2"/>
    <n v="0.2"/>
    <n v="586"/>
    <n v="0.18179999999999999"/>
    <n v="0.93"/>
    <x v="11"/>
    <x v="3"/>
    <x v="16"/>
    <x v="132"/>
  </r>
  <r>
    <n v="588"/>
    <x v="26"/>
    <n v="1"/>
    <x v="16"/>
    <x v="0"/>
    <x v="5"/>
    <x v="0"/>
    <n v="0.22"/>
    <n v="587"/>
    <n v="0.2273"/>
    <n v="0.55000000000000004"/>
    <x v="5"/>
    <x v="5"/>
    <x v="140"/>
    <x v="108"/>
  </r>
  <r>
    <n v="589"/>
    <x v="26"/>
    <n v="1"/>
    <x v="17"/>
    <x v="0"/>
    <x v="5"/>
    <x v="0"/>
    <n v="0.22"/>
    <n v="588"/>
    <n v="0.2424"/>
    <n v="0.55000000000000004"/>
    <x v="14"/>
    <x v="4"/>
    <x v="70"/>
    <x v="11"/>
  </r>
  <r>
    <n v="590"/>
    <x v="26"/>
    <n v="1"/>
    <x v="18"/>
    <x v="0"/>
    <x v="5"/>
    <x v="0"/>
    <n v="0.2"/>
    <n v="589"/>
    <n v="0.2273"/>
    <n v="0.69"/>
    <x v="1"/>
    <x v="0"/>
    <x v="143"/>
    <x v="133"/>
  </r>
  <r>
    <n v="591"/>
    <x v="26"/>
    <n v="1"/>
    <x v="19"/>
    <x v="0"/>
    <x v="5"/>
    <x v="0"/>
    <n v="0.2"/>
    <n v="590"/>
    <n v="0.2273"/>
    <n v="0.69"/>
    <x v="1"/>
    <x v="0"/>
    <x v="83"/>
    <x v="67"/>
  </r>
  <r>
    <n v="592"/>
    <x v="26"/>
    <n v="1"/>
    <x v="20"/>
    <x v="0"/>
    <x v="5"/>
    <x v="0"/>
    <n v="0.18"/>
    <n v="591"/>
    <n v="0.21210000000000001"/>
    <n v="0.74"/>
    <x v="1"/>
    <x v="17"/>
    <x v="11"/>
    <x v="29"/>
  </r>
  <r>
    <n v="593"/>
    <x v="26"/>
    <n v="1"/>
    <x v="21"/>
    <x v="0"/>
    <x v="5"/>
    <x v="0"/>
    <n v="0.18"/>
    <n v="592"/>
    <n v="0.21210000000000001"/>
    <n v="0.74"/>
    <x v="1"/>
    <x v="4"/>
    <x v="49"/>
    <x v="103"/>
  </r>
  <r>
    <n v="594"/>
    <x v="26"/>
    <n v="1"/>
    <x v="22"/>
    <x v="0"/>
    <x v="5"/>
    <x v="0"/>
    <n v="0.18"/>
    <n v="593"/>
    <n v="0.21210000000000001"/>
    <n v="0.74"/>
    <x v="1"/>
    <x v="3"/>
    <x v="2"/>
    <x v="110"/>
  </r>
  <r>
    <n v="595"/>
    <x v="26"/>
    <n v="1"/>
    <x v="23"/>
    <x v="0"/>
    <x v="5"/>
    <x v="0"/>
    <n v="0.18"/>
    <n v="594"/>
    <n v="0.19700000000000001"/>
    <n v="0.8"/>
    <x v="8"/>
    <x v="3"/>
    <x v="20"/>
    <x v="0"/>
  </r>
  <r>
    <n v="596"/>
    <x v="27"/>
    <n v="1"/>
    <x v="0"/>
    <x v="0"/>
    <x v="6"/>
    <x v="1"/>
    <n v="0.2"/>
    <n v="595"/>
    <n v="0.21210000000000001"/>
    <n v="0.75"/>
    <x v="7"/>
    <x v="3"/>
    <x v="33"/>
    <x v="23"/>
  </r>
  <r>
    <n v="597"/>
    <x v="27"/>
    <n v="1"/>
    <x v="1"/>
    <x v="0"/>
    <x v="6"/>
    <x v="1"/>
    <n v="0.2"/>
    <n v="596"/>
    <n v="0.21210000000000001"/>
    <n v="0.75"/>
    <x v="7"/>
    <x v="5"/>
    <x v="6"/>
    <x v="6"/>
  </r>
  <r>
    <n v="598"/>
    <x v="27"/>
    <n v="1"/>
    <x v="2"/>
    <x v="0"/>
    <x v="6"/>
    <x v="1"/>
    <n v="0.2"/>
    <n v="597"/>
    <n v="0.21210000000000001"/>
    <n v="0.75"/>
    <x v="8"/>
    <x v="3"/>
    <x v="6"/>
    <x v="5"/>
  </r>
  <r>
    <n v="599"/>
    <x v="27"/>
    <n v="1"/>
    <x v="3"/>
    <x v="0"/>
    <x v="6"/>
    <x v="1"/>
    <n v="0.2"/>
    <n v="598"/>
    <n v="0.2273"/>
    <n v="0.75"/>
    <x v="14"/>
    <x v="5"/>
    <x v="5"/>
    <x v="4"/>
  </r>
  <r>
    <n v="600"/>
    <x v="27"/>
    <n v="1"/>
    <x v="5"/>
    <x v="0"/>
    <x v="6"/>
    <x v="1"/>
    <n v="0.18"/>
    <n v="599"/>
    <n v="0.21210000000000001"/>
    <n v="0.8"/>
    <x v="14"/>
    <x v="3"/>
    <x v="22"/>
    <x v="48"/>
  </r>
  <r>
    <n v="601"/>
    <x v="27"/>
    <n v="1"/>
    <x v="6"/>
    <x v="0"/>
    <x v="6"/>
    <x v="1"/>
    <n v="0.18"/>
    <n v="600"/>
    <n v="0.19700000000000001"/>
    <n v="0.8"/>
    <x v="7"/>
    <x v="3"/>
    <x v="20"/>
    <x v="0"/>
  </r>
  <r>
    <n v="602"/>
    <x v="27"/>
    <n v="1"/>
    <x v="7"/>
    <x v="0"/>
    <x v="6"/>
    <x v="1"/>
    <n v="0.16"/>
    <n v="601"/>
    <n v="0.19700000000000001"/>
    <n v="0.86"/>
    <x v="1"/>
    <x v="4"/>
    <x v="29"/>
    <x v="122"/>
  </r>
  <r>
    <n v="603"/>
    <x v="27"/>
    <n v="1"/>
    <x v="8"/>
    <x v="0"/>
    <x v="6"/>
    <x v="1"/>
    <n v="0.16"/>
    <n v="602"/>
    <n v="0.19700000000000001"/>
    <n v="0.86"/>
    <x v="1"/>
    <x v="4"/>
    <x v="119"/>
    <x v="45"/>
  </r>
  <r>
    <n v="604"/>
    <x v="27"/>
    <n v="1"/>
    <x v="9"/>
    <x v="0"/>
    <x v="6"/>
    <x v="2"/>
    <n v="0.18"/>
    <n v="603"/>
    <n v="0.21210000000000001"/>
    <n v="0.86"/>
    <x v="1"/>
    <x v="15"/>
    <x v="73"/>
    <x v="129"/>
  </r>
  <r>
    <n v="605"/>
    <x v="27"/>
    <n v="1"/>
    <x v="10"/>
    <x v="0"/>
    <x v="6"/>
    <x v="2"/>
    <n v="0.18"/>
    <n v="604"/>
    <n v="0.21210000000000001"/>
    <n v="0.86"/>
    <x v="14"/>
    <x v="3"/>
    <x v="47"/>
    <x v="99"/>
  </r>
  <r>
    <n v="606"/>
    <x v="27"/>
    <n v="1"/>
    <x v="11"/>
    <x v="0"/>
    <x v="6"/>
    <x v="2"/>
    <n v="0.18"/>
    <n v="605"/>
    <n v="0.21210000000000001"/>
    <n v="0.93"/>
    <x v="14"/>
    <x v="3"/>
    <x v="10"/>
    <x v="33"/>
  </r>
  <r>
    <n v="607"/>
    <x v="27"/>
    <n v="1"/>
    <x v="12"/>
    <x v="0"/>
    <x v="6"/>
    <x v="2"/>
    <n v="0.18"/>
    <n v="606"/>
    <n v="0.21210000000000001"/>
    <n v="0.93"/>
    <x v="14"/>
    <x v="5"/>
    <x v="95"/>
    <x v="115"/>
  </r>
  <r>
    <n v="608"/>
    <x v="27"/>
    <n v="1"/>
    <x v="13"/>
    <x v="0"/>
    <x v="6"/>
    <x v="2"/>
    <n v="0.18"/>
    <n v="607"/>
    <n v="0.21210000000000001"/>
    <n v="0.93"/>
    <x v="14"/>
    <x v="3"/>
    <x v="17"/>
    <x v="35"/>
  </r>
  <r>
    <n v="609"/>
    <x v="27"/>
    <n v="1"/>
    <x v="14"/>
    <x v="0"/>
    <x v="6"/>
    <x v="2"/>
    <n v="0.22"/>
    <n v="608"/>
    <n v="0.2727"/>
    <n v="0.8"/>
    <x v="0"/>
    <x v="4"/>
    <x v="49"/>
    <x v="103"/>
  </r>
  <r>
    <n v="610"/>
    <x v="27"/>
    <n v="1"/>
    <x v="15"/>
    <x v="0"/>
    <x v="6"/>
    <x v="1"/>
    <n v="0.2"/>
    <n v="609"/>
    <n v="0.2576"/>
    <n v="0.86"/>
    <x v="0"/>
    <x v="5"/>
    <x v="71"/>
    <x v="1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1"/>
    <d v="2011-01-01T00:00:00"/>
    <n v="1"/>
    <n v="0"/>
    <b v="0"/>
    <n v="6"/>
    <n v="1"/>
    <x v="0"/>
    <n v="0"/>
    <n v="0.28789999999999999"/>
    <x v="0"/>
    <x v="0"/>
    <n v="3"/>
    <n v="13"/>
    <n v="16"/>
  </r>
  <r>
    <n v="2"/>
    <d v="2011-01-01T00:00:00"/>
    <n v="1"/>
    <n v="1"/>
    <b v="0"/>
    <n v="6"/>
    <n v="1"/>
    <x v="1"/>
    <n v="1"/>
    <n v="0.2727"/>
    <x v="1"/>
    <x v="0"/>
    <n v="8"/>
    <n v="32"/>
    <n v="40"/>
  </r>
  <r>
    <n v="3"/>
    <d v="2011-01-01T00:00:00"/>
    <n v="1"/>
    <n v="2"/>
    <b v="0"/>
    <n v="6"/>
    <n v="1"/>
    <x v="1"/>
    <n v="2"/>
    <n v="0.2727"/>
    <x v="1"/>
    <x v="0"/>
    <n v="5"/>
    <n v="27"/>
    <n v="32"/>
  </r>
  <r>
    <n v="4"/>
    <d v="2011-01-01T00:00:00"/>
    <n v="1"/>
    <n v="3"/>
    <b v="0"/>
    <n v="6"/>
    <n v="1"/>
    <x v="0"/>
    <n v="3"/>
    <n v="0.28789999999999999"/>
    <x v="2"/>
    <x v="0"/>
    <n v="3"/>
    <n v="10"/>
    <n v="13"/>
  </r>
  <r>
    <n v="5"/>
    <d v="2011-01-01T00:00:00"/>
    <n v="1"/>
    <n v="4"/>
    <b v="0"/>
    <n v="6"/>
    <n v="1"/>
    <x v="0"/>
    <n v="4"/>
    <n v="0.28789999999999999"/>
    <x v="2"/>
    <x v="0"/>
    <n v="0"/>
    <n v="1"/>
    <n v="1"/>
  </r>
  <r>
    <n v="6"/>
    <d v="2011-01-01T00:00:00"/>
    <n v="1"/>
    <n v="5"/>
    <b v="0"/>
    <n v="6"/>
    <n v="2"/>
    <x v="0"/>
    <n v="5"/>
    <n v="0.2576"/>
    <x v="2"/>
    <x v="1"/>
    <n v="0"/>
    <n v="1"/>
    <n v="1"/>
  </r>
  <r>
    <n v="7"/>
    <d v="2011-01-01T00:00:00"/>
    <n v="1"/>
    <n v="6"/>
    <b v="0"/>
    <n v="6"/>
    <n v="1"/>
    <x v="1"/>
    <n v="6"/>
    <n v="0.2727"/>
    <x v="1"/>
    <x v="0"/>
    <n v="2"/>
    <n v="0"/>
    <n v="2"/>
  </r>
  <r>
    <n v="8"/>
    <d v="2011-01-01T00:00:00"/>
    <n v="1"/>
    <n v="7"/>
    <b v="0"/>
    <n v="6"/>
    <n v="1"/>
    <x v="2"/>
    <n v="7"/>
    <n v="0.2576"/>
    <x v="3"/>
    <x v="0"/>
    <n v="1"/>
    <n v="2"/>
    <n v="3"/>
  </r>
  <r>
    <n v="9"/>
    <d v="2011-01-01T00:00:00"/>
    <n v="1"/>
    <n v="8"/>
    <b v="0"/>
    <n v="6"/>
    <n v="1"/>
    <x v="0"/>
    <n v="8"/>
    <n v="0.19989999999999999"/>
    <x v="2"/>
    <x v="0"/>
    <n v="1"/>
    <n v="7"/>
    <n v="8"/>
  </r>
  <r>
    <n v="10"/>
    <d v="2011-01-01T00:00:00"/>
    <n v="1"/>
    <n v="9"/>
    <b v="0"/>
    <n v="6"/>
    <n v="1"/>
    <x v="3"/>
    <n v="9"/>
    <n v="0.34849999999999998"/>
    <x v="4"/>
    <x v="0"/>
    <n v="8"/>
    <n v="6"/>
    <n v="14"/>
  </r>
  <r>
    <n v="11"/>
    <d v="2011-01-01T00:00:00"/>
    <n v="1"/>
    <n v="10"/>
    <b v="0"/>
    <n v="6"/>
    <n v="1"/>
    <x v="4"/>
    <n v="10"/>
    <n v="0.39389999999999997"/>
    <x v="4"/>
    <x v="2"/>
    <n v="12"/>
    <n v="24"/>
    <n v="36"/>
  </r>
  <r>
    <n v="12"/>
    <d v="2011-01-01T00:00:00"/>
    <n v="1"/>
    <n v="11"/>
    <b v="0"/>
    <n v="6"/>
    <n v="1"/>
    <x v="5"/>
    <n v="11"/>
    <n v="0.33329999999999999"/>
    <x v="0"/>
    <x v="3"/>
    <n v="26"/>
    <n v="30"/>
    <n v="56"/>
  </r>
  <r>
    <n v="13"/>
    <d v="2011-01-01T00:00:00"/>
    <n v="1"/>
    <n v="12"/>
    <b v="0"/>
    <n v="6"/>
    <n v="1"/>
    <x v="6"/>
    <n v="12"/>
    <n v="0.42420000000000002"/>
    <x v="5"/>
    <x v="3"/>
    <n v="29"/>
    <n v="55"/>
    <n v="84"/>
  </r>
  <r>
    <n v="14"/>
    <d v="2011-01-01T00:00:00"/>
    <n v="1"/>
    <n v="13"/>
    <b v="0"/>
    <n v="6"/>
    <n v="2"/>
    <x v="7"/>
    <n v="13"/>
    <n v="0.45450000000000002"/>
    <x v="6"/>
    <x v="4"/>
    <n v="47"/>
    <n v="47"/>
    <n v="94"/>
  </r>
  <r>
    <n v="15"/>
    <d v="2011-01-01T00:00:00"/>
    <n v="1"/>
    <n v="14"/>
    <b v="0"/>
    <n v="6"/>
    <n v="2"/>
    <x v="7"/>
    <n v="14"/>
    <n v="0.45450000000000002"/>
    <x v="6"/>
    <x v="3"/>
    <n v="35"/>
    <n v="71"/>
    <n v="106"/>
  </r>
  <r>
    <n v="16"/>
    <d v="2011-01-01T00:00:00"/>
    <n v="1"/>
    <n v="15"/>
    <b v="0"/>
    <n v="6"/>
    <n v="2"/>
    <x v="8"/>
    <n v="15"/>
    <n v="0.43940000000000001"/>
    <x v="5"/>
    <x v="4"/>
    <n v="40"/>
    <n v="70"/>
    <n v="110"/>
  </r>
  <r>
    <n v="17"/>
    <d v="2011-01-01T00:00:00"/>
    <n v="1"/>
    <n v="16"/>
    <b v="0"/>
    <n v="6"/>
    <n v="2"/>
    <x v="6"/>
    <n v="16"/>
    <n v="0.42420000000000002"/>
    <x v="7"/>
    <x v="4"/>
    <n v="41"/>
    <n v="52"/>
    <n v="93"/>
  </r>
  <r>
    <n v="18"/>
    <d v="2011-01-01T00:00:00"/>
    <n v="1"/>
    <n v="17"/>
    <b v="0"/>
    <n v="6"/>
    <n v="2"/>
    <x v="8"/>
    <n v="17"/>
    <n v="0.19989999999999999"/>
    <x v="7"/>
    <x v="3"/>
    <n v="15"/>
    <n v="52"/>
    <n v="67"/>
  </r>
  <r>
    <n v="19"/>
    <d v="2011-01-01T00:00:00"/>
    <n v="1"/>
    <n v="18"/>
    <b v="0"/>
    <n v="6"/>
    <n v="3"/>
    <x v="6"/>
    <n v="18"/>
    <n v="0.42420000000000002"/>
    <x v="8"/>
    <x v="2"/>
    <n v="9"/>
    <n v="26"/>
    <n v="35"/>
  </r>
  <r>
    <n v="20"/>
    <d v="2011-01-01T00:00:00"/>
    <n v="1"/>
    <n v="19"/>
    <b v="0"/>
    <n v="6"/>
    <n v="3"/>
    <x v="6"/>
    <n v="19"/>
    <n v="0.42420000000000002"/>
    <x v="8"/>
    <x v="2"/>
    <n v="6"/>
    <n v="31"/>
    <n v="37"/>
  </r>
  <r>
    <n v="21"/>
    <d v="2011-01-01T00:00:00"/>
    <n v="1"/>
    <n v="20"/>
    <b v="0"/>
    <n v="6"/>
    <n v="2"/>
    <x v="9"/>
    <n v="20"/>
    <n v="0.40910000000000002"/>
    <x v="9"/>
    <x v="2"/>
    <n v="11"/>
    <n v="25"/>
    <n v="36"/>
  </r>
  <r>
    <n v="22"/>
    <d v="2011-01-01T00:00:00"/>
    <n v="1"/>
    <n v="21"/>
    <b v="0"/>
    <n v="6"/>
    <n v="2"/>
    <x v="9"/>
    <n v="21"/>
    <n v="0.40910000000000002"/>
    <x v="9"/>
    <x v="5"/>
    <n v="3"/>
    <n v="31"/>
    <n v="34"/>
  </r>
  <r>
    <n v="23"/>
    <d v="2011-01-01T00:00:00"/>
    <n v="1"/>
    <n v="22"/>
    <b v="0"/>
    <n v="6"/>
    <n v="2"/>
    <x v="9"/>
    <n v="22"/>
    <n v="0.40910000000000002"/>
    <x v="10"/>
    <x v="6"/>
    <n v="11"/>
    <n v="17"/>
    <n v="28"/>
  </r>
  <r>
    <n v="24"/>
    <d v="2011-01-01T00:00:00"/>
    <n v="1"/>
    <n v="23"/>
    <b v="0"/>
    <n v="6"/>
    <n v="2"/>
    <x v="7"/>
    <n v="23"/>
    <n v="0.19989999999999999"/>
    <x v="8"/>
    <x v="4"/>
    <n v="15"/>
    <n v="24"/>
    <n v="39"/>
  </r>
  <r>
    <n v="25"/>
    <d v="2011-01-02T00:00:00"/>
    <n v="1"/>
    <n v="0"/>
    <b v="0"/>
    <n v="0"/>
    <n v="2"/>
    <x v="7"/>
    <n v="24"/>
    <n v="0.45450000000000002"/>
    <x v="8"/>
    <x v="4"/>
    <n v="4"/>
    <n v="13"/>
    <n v="17"/>
  </r>
  <r>
    <n v="26"/>
    <d v="2011-01-02T00:00:00"/>
    <n v="1"/>
    <n v="1"/>
    <b v="0"/>
    <n v="0"/>
    <n v="2"/>
    <x v="8"/>
    <n v="25"/>
    <n v="0.43940000000000001"/>
    <x v="10"/>
    <x v="2"/>
    <n v="1"/>
    <n v="16"/>
    <n v="17"/>
  </r>
  <r>
    <n v="27"/>
    <d v="2011-01-02T00:00:00"/>
    <n v="1"/>
    <n v="2"/>
    <b v="0"/>
    <n v="0"/>
    <n v="2"/>
    <x v="6"/>
    <n v="26"/>
    <n v="0.42420000000000002"/>
    <x v="11"/>
    <x v="3"/>
    <n v="1"/>
    <n v="8"/>
    <n v="9"/>
  </r>
  <r>
    <n v="28"/>
    <d v="2011-01-02T00:00:00"/>
    <n v="1"/>
    <n v="3"/>
    <b v="0"/>
    <n v="0"/>
    <n v="2"/>
    <x v="7"/>
    <n v="27"/>
    <n v="0.45450000000000002"/>
    <x v="10"/>
    <x v="5"/>
    <n v="2"/>
    <n v="4"/>
    <n v="6"/>
  </r>
  <r>
    <n v="29"/>
    <d v="2011-01-02T00:00:00"/>
    <n v="1"/>
    <n v="4"/>
    <b v="0"/>
    <n v="0"/>
    <n v="2"/>
    <x v="7"/>
    <n v="28"/>
    <n v="0.19989999999999999"/>
    <x v="10"/>
    <x v="5"/>
    <n v="2"/>
    <n v="1"/>
    <n v="3"/>
  </r>
  <r>
    <n v="30"/>
    <d v="2011-01-02T00:00:00"/>
    <n v="1"/>
    <n v="6"/>
    <b v="0"/>
    <n v="0"/>
    <n v="3"/>
    <x v="6"/>
    <n v="29"/>
    <n v="0.42420000000000002"/>
    <x v="5"/>
    <x v="4"/>
    <n v="0"/>
    <n v="2"/>
    <n v="2"/>
  </r>
  <r>
    <n v="31"/>
    <d v="2011-01-02T00:00:00"/>
    <n v="1"/>
    <n v="7"/>
    <b v="0"/>
    <n v="0"/>
    <n v="2"/>
    <x v="9"/>
    <n v="30"/>
    <n v="0.40910000000000002"/>
    <x v="4"/>
    <x v="5"/>
    <n v="0"/>
    <n v="1"/>
    <n v="1"/>
  </r>
  <r>
    <n v="32"/>
    <d v="2011-01-02T00:00:00"/>
    <n v="1"/>
    <n v="8"/>
    <b v="0"/>
    <n v="0"/>
    <n v="3"/>
    <x v="9"/>
    <n v="31"/>
    <n v="0.40910000000000002"/>
    <x v="12"/>
    <x v="6"/>
    <n v="0"/>
    <n v="8"/>
    <n v="8"/>
  </r>
  <r>
    <n v="33"/>
    <d v="2011-01-02T00:00:00"/>
    <n v="1"/>
    <n v="9"/>
    <b v="0"/>
    <n v="0"/>
    <n v="2"/>
    <x v="4"/>
    <n v="32"/>
    <n v="0.19989999999999999"/>
    <x v="4"/>
    <x v="6"/>
    <n v="1"/>
    <n v="19"/>
    <n v="20"/>
  </r>
  <r>
    <n v="34"/>
    <d v="2011-01-02T00:00:00"/>
    <n v="1"/>
    <n v="10"/>
    <b v="0"/>
    <n v="0"/>
    <n v="2"/>
    <x v="5"/>
    <n v="33"/>
    <n v="0.34849999999999998"/>
    <x v="0"/>
    <x v="6"/>
    <n v="7"/>
    <n v="46"/>
    <n v="53"/>
  </r>
  <r>
    <n v="35"/>
    <d v="2011-01-02T00:00:00"/>
    <n v="1"/>
    <n v="11"/>
    <b v="0"/>
    <n v="0"/>
    <n v="2"/>
    <x v="5"/>
    <n v="34"/>
    <n v="0.33329999999999999"/>
    <x v="12"/>
    <x v="2"/>
    <n v="16"/>
    <n v="54"/>
    <n v="70"/>
  </r>
  <r>
    <n v="36"/>
    <d v="2011-01-02T00:00:00"/>
    <n v="1"/>
    <n v="12"/>
    <b v="0"/>
    <n v="0"/>
    <n v="2"/>
    <x v="5"/>
    <n v="35"/>
    <n v="0.33329999999999999"/>
    <x v="13"/>
    <x v="4"/>
    <n v="20"/>
    <n v="73"/>
    <n v="93"/>
  </r>
  <r>
    <n v="37"/>
    <d v="2011-01-02T00:00:00"/>
    <n v="1"/>
    <n v="13"/>
    <b v="0"/>
    <n v="0"/>
    <n v="2"/>
    <x v="5"/>
    <n v="36"/>
    <n v="0.34849999999999998"/>
    <x v="13"/>
    <x v="7"/>
    <n v="11"/>
    <n v="64"/>
    <n v="75"/>
  </r>
  <r>
    <n v="38"/>
    <d v="2011-01-02T00:00:00"/>
    <n v="1"/>
    <n v="14"/>
    <b v="0"/>
    <n v="0"/>
    <n v="3"/>
    <x v="5"/>
    <n v="37"/>
    <n v="0.19989999999999999"/>
    <x v="4"/>
    <x v="5"/>
    <n v="4"/>
    <n v="55"/>
    <n v="59"/>
  </r>
  <r>
    <n v="39"/>
    <d v="2011-01-02T00:00:00"/>
    <n v="1"/>
    <n v="15"/>
    <b v="0"/>
    <n v="0"/>
    <n v="3"/>
    <x v="10"/>
    <n v="38"/>
    <n v="0.33329999999999999"/>
    <x v="0"/>
    <x v="8"/>
    <n v="19"/>
    <n v="55"/>
    <n v="74"/>
  </r>
  <r>
    <n v="40"/>
    <d v="2011-01-02T00:00:00"/>
    <n v="1"/>
    <n v="16"/>
    <b v="0"/>
    <n v="0"/>
    <n v="3"/>
    <x v="10"/>
    <n v="39"/>
    <n v="0.33329999999999999"/>
    <x v="12"/>
    <x v="8"/>
    <n v="9"/>
    <n v="67"/>
    <n v="76"/>
  </r>
  <r>
    <n v="41"/>
    <d v="2011-01-02T00:00:00"/>
    <n v="1"/>
    <n v="17"/>
    <b v="0"/>
    <n v="0"/>
    <n v="1"/>
    <x v="10"/>
    <n v="40"/>
    <n v="0.33329999999999999"/>
    <x v="14"/>
    <x v="5"/>
    <n v="7"/>
    <n v="58"/>
    <n v="65"/>
  </r>
  <r>
    <n v="42"/>
    <d v="2011-01-02T00:00:00"/>
    <n v="1"/>
    <n v="18"/>
    <b v="0"/>
    <n v="0"/>
    <n v="2"/>
    <x v="5"/>
    <n v="41"/>
    <n v="0.33329999999999999"/>
    <x v="15"/>
    <x v="9"/>
    <n v="10"/>
    <n v="43"/>
    <n v="53"/>
  </r>
  <r>
    <n v="43"/>
    <d v="2011-01-02T00:00:00"/>
    <n v="1"/>
    <n v="19"/>
    <b v="0"/>
    <n v="0"/>
    <n v="1"/>
    <x v="3"/>
    <n v="42"/>
    <n v="0.28789999999999999"/>
    <x v="16"/>
    <x v="10"/>
    <n v="1"/>
    <n v="29"/>
    <n v="30"/>
  </r>
  <r>
    <n v="44"/>
    <d v="2011-01-02T00:00:00"/>
    <n v="1"/>
    <n v="20"/>
    <b v="0"/>
    <n v="0"/>
    <n v="1"/>
    <x v="11"/>
    <n v="43"/>
    <n v="0.19989999999999999"/>
    <x v="17"/>
    <x v="11"/>
    <n v="5"/>
    <n v="17"/>
    <n v="22"/>
  </r>
  <r>
    <n v="45"/>
    <d v="2011-01-02T00:00:00"/>
    <n v="1"/>
    <n v="21"/>
    <b v="0"/>
    <n v="0"/>
    <n v="1"/>
    <x v="12"/>
    <n v="44"/>
    <n v="0.2273"/>
    <x v="18"/>
    <x v="9"/>
    <n v="11"/>
    <n v="20"/>
    <n v="31"/>
  </r>
  <r>
    <n v="46"/>
    <d v="2011-01-02T00:00:00"/>
    <n v="1"/>
    <n v="22"/>
    <b v="0"/>
    <n v="0"/>
    <n v="1"/>
    <x v="0"/>
    <n v="45"/>
    <n v="0.21210000000000001"/>
    <x v="18"/>
    <x v="4"/>
    <n v="0"/>
    <n v="9"/>
    <n v="9"/>
  </r>
  <r>
    <n v="47"/>
    <d v="2011-01-02T00:00:00"/>
    <n v="1"/>
    <n v="23"/>
    <b v="0"/>
    <n v="0"/>
    <n v="1"/>
    <x v="1"/>
    <n v="46"/>
    <n v="0.2273"/>
    <x v="19"/>
    <x v="8"/>
    <n v="0"/>
    <n v="8"/>
    <n v="8"/>
  </r>
  <r>
    <n v="48"/>
    <d v="2011-01-03T00:00:00"/>
    <n v="1"/>
    <n v="0"/>
    <b v="0"/>
    <n v="1"/>
    <n v="1"/>
    <x v="1"/>
    <n v="47"/>
    <n v="0.19700000000000001"/>
    <x v="18"/>
    <x v="11"/>
    <n v="0"/>
    <n v="5"/>
    <n v="5"/>
  </r>
  <r>
    <n v="49"/>
    <d v="2011-01-03T00:00:00"/>
    <n v="1"/>
    <n v="1"/>
    <b v="0"/>
    <n v="1"/>
    <n v="1"/>
    <x v="2"/>
    <n v="48"/>
    <n v="0.19989999999999999"/>
    <x v="18"/>
    <x v="12"/>
    <n v="0"/>
    <n v="2"/>
    <n v="2"/>
  </r>
  <r>
    <n v="50"/>
    <d v="2011-01-03T00:00:00"/>
    <n v="1"/>
    <n v="4"/>
    <b v="0"/>
    <n v="1"/>
    <n v="1"/>
    <x v="13"/>
    <n v="49"/>
    <n v="0.13639999999999999"/>
    <x v="19"/>
    <x v="13"/>
    <n v="0"/>
    <n v="1"/>
    <n v="1"/>
  </r>
  <r>
    <n v="51"/>
    <d v="2011-01-03T00:00:00"/>
    <n v="1"/>
    <n v="5"/>
    <b v="0"/>
    <n v="1"/>
    <n v="1"/>
    <x v="13"/>
    <n v="50"/>
    <n v="0.13639999999999999"/>
    <x v="19"/>
    <x v="3"/>
    <n v="0"/>
    <n v="3"/>
    <n v="3"/>
  </r>
  <r>
    <n v="52"/>
    <d v="2011-01-03T00:00:00"/>
    <n v="1"/>
    <n v="6"/>
    <b v="0"/>
    <n v="1"/>
    <n v="1"/>
    <x v="14"/>
    <n v="51"/>
    <n v="0.1061"/>
    <x v="20"/>
    <x v="13"/>
    <n v="0"/>
    <n v="30"/>
    <n v="30"/>
  </r>
  <r>
    <n v="53"/>
    <d v="2011-01-03T00:00:00"/>
    <n v="1"/>
    <n v="7"/>
    <b v="0"/>
    <n v="1"/>
    <n v="1"/>
    <x v="14"/>
    <n v="52"/>
    <n v="0.13639999999999999"/>
    <x v="20"/>
    <x v="5"/>
    <n v="1"/>
    <n v="63"/>
    <n v="64"/>
  </r>
  <r>
    <n v="54"/>
    <d v="2011-01-03T00:00:00"/>
    <n v="1"/>
    <n v="8"/>
    <b v="0"/>
    <n v="1"/>
    <n v="1"/>
    <x v="14"/>
    <n v="53"/>
    <n v="0.1212"/>
    <x v="20"/>
    <x v="3"/>
    <n v="1"/>
    <n v="153"/>
    <n v="154"/>
  </r>
  <r>
    <n v="55"/>
    <d v="2011-01-03T00:00:00"/>
    <n v="1"/>
    <n v="9"/>
    <b v="0"/>
    <n v="1"/>
    <n v="1"/>
    <x v="13"/>
    <n v="54"/>
    <n v="0.13639999999999999"/>
    <x v="21"/>
    <x v="13"/>
    <n v="7"/>
    <n v="81"/>
    <n v="88"/>
  </r>
  <r>
    <n v="56"/>
    <d v="2011-01-03T00:00:00"/>
    <n v="1"/>
    <n v="10"/>
    <b v="0"/>
    <n v="1"/>
    <n v="1"/>
    <x v="15"/>
    <n v="55"/>
    <n v="0.16669999999999999"/>
    <x v="21"/>
    <x v="2"/>
    <n v="11"/>
    <n v="33"/>
    <n v="44"/>
  </r>
  <r>
    <n v="57"/>
    <d v="2011-01-03T00:00:00"/>
    <n v="1"/>
    <n v="11"/>
    <b v="0"/>
    <n v="1"/>
    <n v="1"/>
    <x v="2"/>
    <n v="56"/>
    <n v="0.18179999999999999"/>
    <x v="22"/>
    <x v="9"/>
    <n v="10"/>
    <n v="41"/>
    <n v="51"/>
  </r>
  <r>
    <n v="58"/>
    <d v="2011-01-03T00:00:00"/>
    <n v="1"/>
    <n v="12"/>
    <b v="0"/>
    <n v="1"/>
    <n v="1"/>
    <x v="1"/>
    <n v="57"/>
    <n v="0.21210000000000001"/>
    <x v="23"/>
    <x v="4"/>
    <n v="13"/>
    <n v="48"/>
    <n v="61"/>
  </r>
  <r>
    <n v="59"/>
    <d v="2011-01-03T00:00:00"/>
    <n v="1"/>
    <n v="13"/>
    <b v="0"/>
    <n v="1"/>
    <n v="1"/>
    <x v="0"/>
    <n v="58"/>
    <n v="0.19989999999999999"/>
    <x v="23"/>
    <x v="3"/>
    <n v="8"/>
    <n v="53"/>
    <n v="61"/>
  </r>
  <r>
    <n v="60"/>
    <d v="2011-01-03T00:00:00"/>
    <n v="1"/>
    <n v="14"/>
    <b v="0"/>
    <n v="1"/>
    <n v="1"/>
    <x v="12"/>
    <n v="59"/>
    <n v="0.2424"/>
    <x v="24"/>
    <x v="3"/>
    <n v="11"/>
    <n v="66"/>
    <n v="77"/>
  </r>
  <r>
    <n v="61"/>
    <d v="2011-01-03T00:00:00"/>
    <n v="1"/>
    <n v="15"/>
    <b v="0"/>
    <n v="1"/>
    <n v="1"/>
    <x v="12"/>
    <n v="60"/>
    <n v="0.2424"/>
    <x v="24"/>
    <x v="2"/>
    <n v="14"/>
    <n v="58"/>
    <n v="72"/>
  </r>
  <r>
    <n v="62"/>
    <d v="2011-01-03T00:00:00"/>
    <n v="1"/>
    <n v="16"/>
    <b v="0"/>
    <n v="1"/>
    <n v="1"/>
    <x v="12"/>
    <n v="61"/>
    <n v="0.2424"/>
    <x v="24"/>
    <x v="2"/>
    <n v="9"/>
    <n v="67"/>
    <n v="76"/>
  </r>
  <r>
    <n v="63"/>
    <d v="2011-01-03T00:00:00"/>
    <n v="1"/>
    <n v="17"/>
    <b v="0"/>
    <n v="1"/>
    <n v="1"/>
    <x v="0"/>
    <n v="62"/>
    <n v="0.2273"/>
    <x v="24"/>
    <x v="6"/>
    <n v="11"/>
    <n v="146"/>
    <n v="157"/>
  </r>
  <r>
    <n v="64"/>
    <d v="2011-01-03T00:00:00"/>
    <n v="1"/>
    <n v="18"/>
    <b v="0"/>
    <n v="1"/>
    <n v="1"/>
    <x v="0"/>
    <n v="63"/>
    <n v="0.2576"/>
    <x v="25"/>
    <x v="14"/>
    <n v="9"/>
    <n v="148"/>
    <n v="157"/>
  </r>
  <r>
    <n v="65"/>
    <d v="2011-01-03T00:00:00"/>
    <n v="1"/>
    <n v="19"/>
    <b v="0"/>
    <n v="1"/>
    <n v="1"/>
    <x v="2"/>
    <n v="64"/>
    <n v="0.2576"/>
    <x v="19"/>
    <x v="0"/>
    <n v="8"/>
    <n v="102"/>
    <n v="110"/>
  </r>
  <r>
    <n v="66"/>
    <d v="2011-01-03T00:00:00"/>
    <n v="1"/>
    <n v="20"/>
    <b v="0"/>
    <n v="1"/>
    <n v="1"/>
    <x v="2"/>
    <n v="65"/>
    <n v="0.19989999999999999"/>
    <x v="19"/>
    <x v="14"/>
    <n v="3"/>
    <n v="49"/>
    <n v="52"/>
  </r>
  <r>
    <n v="67"/>
    <d v="2011-01-03T00:00:00"/>
    <n v="1"/>
    <n v="21"/>
    <b v="0"/>
    <n v="1"/>
    <n v="1"/>
    <x v="15"/>
    <n v="66"/>
    <n v="0.19700000000000001"/>
    <x v="26"/>
    <x v="7"/>
    <n v="3"/>
    <n v="49"/>
    <n v="52"/>
  </r>
  <r>
    <n v="68"/>
    <d v="2011-01-03T00:00:00"/>
    <n v="1"/>
    <n v="22"/>
    <b v="0"/>
    <n v="1"/>
    <n v="1"/>
    <x v="14"/>
    <n v="67"/>
    <n v="0.1515"/>
    <x v="27"/>
    <x v="7"/>
    <n v="0"/>
    <n v="20"/>
    <n v="20"/>
  </r>
  <r>
    <n v="69"/>
    <d v="2011-01-03T00:00:00"/>
    <n v="1"/>
    <n v="23"/>
    <b v="0"/>
    <n v="1"/>
    <n v="1"/>
    <x v="15"/>
    <n v="68"/>
    <n v="0.21210000000000001"/>
    <x v="28"/>
    <x v="14"/>
    <n v="1"/>
    <n v="11"/>
    <n v="12"/>
  </r>
  <r>
    <n v="70"/>
    <d v="2011-01-04T00:00:00"/>
    <n v="1"/>
    <n v="0"/>
    <b v="0"/>
    <n v="2"/>
    <n v="1"/>
    <x v="13"/>
    <n v="69"/>
    <n v="0.19989999999999999"/>
    <x v="28"/>
    <x v="14"/>
    <n v="0"/>
    <n v="5"/>
    <n v="5"/>
  </r>
  <r>
    <n v="71"/>
    <d v="2011-01-04T00:00:00"/>
    <n v="1"/>
    <n v="1"/>
    <b v="0"/>
    <n v="2"/>
    <n v="1"/>
    <x v="13"/>
    <n v="70"/>
    <n v="0.18179999999999999"/>
    <x v="29"/>
    <x v="14"/>
    <n v="0"/>
    <n v="2"/>
    <n v="2"/>
  </r>
  <r>
    <n v="72"/>
    <d v="2011-01-04T00:00:00"/>
    <n v="1"/>
    <n v="2"/>
    <b v="0"/>
    <n v="2"/>
    <n v="1"/>
    <x v="14"/>
    <n v="71"/>
    <n v="0.1515"/>
    <x v="30"/>
    <x v="7"/>
    <n v="0"/>
    <n v="1"/>
    <n v="1"/>
  </r>
  <r>
    <n v="73"/>
    <d v="2011-01-04T00:00:00"/>
    <n v="1"/>
    <n v="4"/>
    <b v="0"/>
    <n v="2"/>
    <n v="1"/>
    <x v="14"/>
    <n v="72"/>
    <n v="0.18179999999999999"/>
    <x v="30"/>
    <x v="1"/>
    <n v="0"/>
    <n v="2"/>
    <n v="2"/>
  </r>
  <r>
    <n v="74"/>
    <d v="2011-01-04T00:00:00"/>
    <n v="1"/>
    <n v="5"/>
    <b v="0"/>
    <n v="2"/>
    <n v="1"/>
    <x v="16"/>
    <n v="73"/>
    <n v="0.1515"/>
    <x v="31"/>
    <x v="14"/>
    <n v="0"/>
    <n v="4"/>
    <n v="4"/>
  </r>
  <r>
    <n v="75"/>
    <d v="2011-01-04T00:00:00"/>
    <n v="1"/>
    <n v="6"/>
    <b v="0"/>
    <n v="2"/>
    <n v="1"/>
    <x v="16"/>
    <n v="74"/>
    <n v="0.1515"/>
    <x v="32"/>
    <x v="14"/>
    <n v="0"/>
    <n v="36"/>
    <n v="36"/>
  </r>
  <r>
    <n v="76"/>
    <d v="2011-01-04T00:00:00"/>
    <n v="1"/>
    <n v="7"/>
    <b v="0"/>
    <n v="2"/>
    <n v="1"/>
    <x v="16"/>
    <n v="75"/>
    <n v="0.1515"/>
    <x v="32"/>
    <x v="7"/>
    <n v="2"/>
    <n v="92"/>
    <n v="94"/>
  </r>
  <r>
    <n v="77"/>
    <d v="2011-01-04T00:00:00"/>
    <n v="1"/>
    <n v="8"/>
    <b v="0"/>
    <n v="2"/>
    <n v="1"/>
    <x v="14"/>
    <n v="76"/>
    <n v="0.1515"/>
    <x v="27"/>
    <x v="8"/>
    <n v="2"/>
    <n v="177"/>
    <n v="179"/>
  </r>
  <r>
    <n v="78"/>
    <d v="2011-01-04T00:00:00"/>
    <n v="1"/>
    <n v="9"/>
    <b v="0"/>
    <n v="2"/>
    <n v="1"/>
    <x v="13"/>
    <n v="77"/>
    <n v="0.1515"/>
    <x v="26"/>
    <x v="6"/>
    <n v="2"/>
    <n v="98"/>
    <n v="100"/>
  </r>
  <r>
    <n v="79"/>
    <d v="2011-01-04T00:00:00"/>
    <n v="1"/>
    <n v="10"/>
    <b v="0"/>
    <n v="2"/>
    <n v="2"/>
    <x v="13"/>
    <n v="78"/>
    <n v="0.13639999999999999"/>
    <x v="27"/>
    <x v="9"/>
    <n v="5"/>
    <n v="37"/>
    <n v="42"/>
  </r>
  <r>
    <n v="80"/>
    <d v="2011-01-04T00:00:00"/>
    <n v="1"/>
    <n v="11"/>
    <b v="0"/>
    <n v="2"/>
    <n v="1"/>
    <x v="1"/>
    <n v="79"/>
    <n v="0.21210000000000001"/>
    <x v="33"/>
    <x v="4"/>
    <n v="7"/>
    <n v="50"/>
    <n v="57"/>
  </r>
  <r>
    <n v="81"/>
    <d v="2011-01-04T00:00:00"/>
    <n v="1"/>
    <n v="12"/>
    <b v="0"/>
    <n v="2"/>
    <n v="1"/>
    <x v="1"/>
    <n v="80"/>
    <n v="0.2273"/>
    <x v="33"/>
    <x v="8"/>
    <n v="12"/>
    <n v="66"/>
    <n v="78"/>
  </r>
  <r>
    <n v="82"/>
    <d v="2011-01-04T00:00:00"/>
    <n v="1"/>
    <n v="13"/>
    <b v="0"/>
    <n v="2"/>
    <n v="1"/>
    <x v="0"/>
    <n v="81"/>
    <n v="0.2273"/>
    <x v="34"/>
    <x v="5"/>
    <n v="18"/>
    <n v="79"/>
    <n v="97"/>
  </r>
  <r>
    <n v="83"/>
    <d v="2011-01-04T00:00:00"/>
    <n v="1"/>
    <n v="14"/>
    <b v="0"/>
    <n v="2"/>
    <n v="1"/>
    <x v="12"/>
    <n v="82"/>
    <n v="0.2576"/>
    <x v="35"/>
    <x v="6"/>
    <n v="9"/>
    <n v="54"/>
    <n v="63"/>
  </r>
  <r>
    <n v="84"/>
    <d v="2011-01-04T00:00:00"/>
    <n v="1"/>
    <n v="15"/>
    <b v="0"/>
    <n v="2"/>
    <n v="1"/>
    <x v="17"/>
    <n v="83"/>
    <n v="0.2727"/>
    <x v="35"/>
    <x v="2"/>
    <n v="17"/>
    <n v="48"/>
    <n v="65"/>
  </r>
  <r>
    <n v="85"/>
    <d v="2011-01-04T00:00:00"/>
    <n v="1"/>
    <n v="16"/>
    <b v="0"/>
    <n v="2"/>
    <n v="1"/>
    <x v="11"/>
    <n v="84"/>
    <n v="0.28789999999999999"/>
    <x v="36"/>
    <x v="2"/>
    <n v="15"/>
    <n v="68"/>
    <n v="83"/>
  </r>
  <r>
    <n v="86"/>
    <d v="2011-01-04T00:00:00"/>
    <n v="1"/>
    <n v="17"/>
    <b v="0"/>
    <n v="2"/>
    <n v="1"/>
    <x v="17"/>
    <n v="85"/>
    <n v="0.2727"/>
    <x v="37"/>
    <x v="6"/>
    <n v="10"/>
    <n v="202"/>
    <n v="212"/>
  </r>
  <r>
    <n v="87"/>
    <d v="2011-01-04T00:00:00"/>
    <n v="1"/>
    <n v="18"/>
    <b v="0"/>
    <n v="2"/>
    <n v="1"/>
    <x v="12"/>
    <n v="86"/>
    <n v="0.2576"/>
    <x v="37"/>
    <x v="5"/>
    <n v="3"/>
    <n v="179"/>
    <n v="182"/>
  </r>
  <r>
    <n v="88"/>
    <d v="2011-01-04T00:00:00"/>
    <n v="1"/>
    <n v="19"/>
    <b v="0"/>
    <n v="2"/>
    <n v="1"/>
    <x v="0"/>
    <n v="87"/>
    <n v="0.2576"/>
    <x v="37"/>
    <x v="14"/>
    <n v="2"/>
    <n v="110"/>
    <n v="112"/>
  </r>
  <r>
    <n v="89"/>
    <d v="2011-01-04T00:00:00"/>
    <n v="1"/>
    <n v="20"/>
    <b v="0"/>
    <n v="2"/>
    <n v="1"/>
    <x v="0"/>
    <n v="88"/>
    <n v="0.2576"/>
    <x v="37"/>
    <x v="14"/>
    <n v="1"/>
    <n v="53"/>
    <n v="54"/>
  </r>
  <r>
    <n v="90"/>
    <d v="2011-01-04T00:00:00"/>
    <n v="1"/>
    <n v="21"/>
    <b v="0"/>
    <n v="2"/>
    <n v="1"/>
    <x v="1"/>
    <n v="89"/>
    <n v="0.2727"/>
    <x v="26"/>
    <x v="0"/>
    <n v="0"/>
    <n v="48"/>
    <n v="48"/>
  </r>
  <r>
    <n v="91"/>
    <d v="2011-01-04T00:00:00"/>
    <n v="1"/>
    <n v="22"/>
    <b v="0"/>
    <n v="2"/>
    <n v="1"/>
    <x v="1"/>
    <n v="90"/>
    <n v="0.2576"/>
    <x v="26"/>
    <x v="1"/>
    <n v="1"/>
    <n v="34"/>
    <n v="35"/>
  </r>
  <r>
    <n v="92"/>
    <d v="2011-01-04T00:00:00"/>
    <n v="1"/>
    <n v="23"/>
    <b v="0"/>
    <n v="2"/>
    <n v="1"/>
    <x v="2"/>
    <n v="91"/>
    <n v="0.2273"/>
    <x v="27"/>
    <x v="1"/>
    <n v="2"/>
    <n v="9"/>
    <n v="11"/>
  </r>
  <r>
    <n v="93"/>
    <d v="2011-01-05T00:00:00"/>
    <n v="1"/>
    <n v="0"/>
    <b v="0"/>
    <n v="3"/>
    <n v="1"/>
    <x v="2"/>
    <n v="92"/>
    <n v="0.2576"/>
    <x v="26"/>
    <x v="0"/>
    <n v="0"/>
    <n v="6"/>
    <n v="6"/>
  </r>
  <r>
    <n v="94"/>
    <d v="2011-01-05T00:00:00"/>
    <n v="1"/>
    <n v="1"/>
    <b v="0"/>
    <n v="3"/>
    <n v="1"/>
    <x v="13"/>
    <n v="93"/>
    <n v="0.19700000000000001"/>
    <x v="32"/>
    <x v="1"/>
    <n v="0"/>
    <n v="6"/>
    <n v="6"/>
  </r>
  <r>
    <n v="95"/>
    <d v="2011-01-05T00:00:00"/>
    <n v="1"/>
    <n v="2"/>
    <b v="0"/>
    <n v="3"/>
    <n v="1"/>
    <x v="13"/>
    <n v="94"/>
    <n v="0.19700000000000001"/>
    <x v="32"/>
    <x v="1"/>
    <n v="0"/>
    <n v="2"/>
    <n v="2"/>
  </r>
  <r>
    <n v="96"/>
    <d v="2011-01-05T00:00:00"/>
    <n v="1"/>
    <n v="4"/>
    <b v="0"/>
    <n v="3"/>
    <n v="1"/>
    <x v="0"/>
    <n v="95"/>
    <n v="0.2273"/>
    <x v="37"/>
    <x v="6"/>
    <n v="0"/>
    <n v="2"/>
    <n v="2"/>
  </r>
  <r>
    <n v="97"/>
    <d v="2011-01-05T00:00:00"/>
    <n v="1"/>
    <n v="5"/>
    <b v="0"/>
    <n v="3"/>
    <n v="1"/>
    <x v="1"/>
    <n v="96"/>
    <n v="0.2273"/>
    <x v="19"/>
    <x v="8"/>
    <n v="0"/>
    <n v="3"/>
    <n v="3"/>
  </r>
  <r>
    <n v="98"/>
    <d v="2011-01-05T00:00:00"/>
    <n v="1"/>
    <n v="6"/>
    <b v="0"/>
    <n v="3"/>
    <n v="1"/>
    <x v="2"/>
    <n v="97"/>
    <n v="0.19700000000000001"/>
    <x v="19"/>
    <x v="6"/>
    <n v="0"/>
    <n v="33"/>
    <n v="33"/>
  </r>
  <r>
    <n v="99"/>
    <d v="2011-01-05T00:00:00"/>
    <n v="1"/>
    <n v="7"/>
    <b v="0"/>
    <n v="3"/>
    <n v="1"/>
    <x v="15"/>
    <n v="98"/>
    <n v="0.18179999999999999"/>
    <x v="21"/>
    <x v="5"/>
    <n v="1"/>
    <n v="87"/>
    <n v="88"/>
  </r>
  <r>
    <n v="100"/>
    <d v="2011-01-05T00:00:00"/>
    <n v="1"/>
    <n v="8"/>
    <b v="0"/>
    <n v="3"/>
    <n v="1"/>
    <x v="2"/>
    <n v="99"/>
    <n v="0.18179999999999999"/>
    <x v="22"/>
    <x v="4"/>
    <n v="3"/>
    <n v="192"/>
    <n v="195"/>
  </r>
  <r>
    <n v="101"/>
    <d v="2011-01-05T00:00:00"/>
    <n v="1"/>
    <n v="9"/>
    <b v="0"/>
    <n v="3"/>
    <n v="1"/>
    <x v="1"/>
    <n v="100"/>
    <n v="0.19700000000000001"/>
    <x v="38"/>
    <x v="9"/>
    <n v="6"/>
    <n v="109"/>
    <n v="115"/>
  </r>
  <r>
    <n v="102"/>
    <d v="2011-01-05T00:00:00"/>
    <n v="1"/>
    <n v="10"/>
    <b v="0"/>
    <n v="3"/>
    <n v="1"/>
    <x v="1"/>
    <n v="101"/>
    <n v="0.19700000000000001"/>
    <x v="38"/>
    <x v="9"/>
    <n v="4"/>
    <n v="53"/>
    <n v="57"/>
  </r>
  <r>
    <n v="103"/>
    <d v="2011-01-05T00:00:00"/>
    <n v="1"/>
    <n v="11"/>
    <b v="0"/>
    <n v="3"/>
    <n v="1"/>
    <x v="12"/>
    <n v="102"/>
    <n v="0.2273"/>
    <x v="39"/>
    <x v="9"/>
    <n v="12"/>
    <n v="34"/>
    <n v="46"/>
  </r>
  <r>
    <n v="104"/>
    <d v="2011-01-05T00:00:00"/>
    <n v="1"/>
    <n v="12"/>
    <b v="0"/>
    <n v="3"/>
    <n v="1"/>
    <x v="12"/>
    <n v="103"/>
    <n v="0.2273"/>
    <x v="39"/>
    <x v="9"/>
    <n v="5"/>
    <n v="74"/>
    <n v="79"/>
  </r>
  <r>
    <n v="105"/>
    <d v="2011-01-05T00:00:00"/>
    <n v="1"/>
    <n v="13"/>
    <b v="0"/>
    <n v="3"/>
    <n v="1"/>
    <x v="17"/>
    <n v="104"/>
    <n v="0.2576"/>
    <x v="24"/>
    <x v="4"/>
    <n v="6"/>
    <n v="65"/>
    <n v="71"/>
  </r>
  <r>
    <n v="106"/>
    <d v="2011-01-05T00:00:00"/>
    <n v="1"/>
    <n v="14"/>
    <b v="0"/>
    <n v="3"/>
    <n v="1"/>
    <x v="11"/>
    <n v="105"/>
    <n v="0.28789999999999999"/>
    <x v="40"/>
    <x v="5"/>
    <n v="10"/>
    <n v="52"/>
    <n v="62"/>
  </r>
  <r>
    <n v="107"/>
    <d v="2011-01-05T00:00:00"/>
    <n v="1"/>
    <n v="15"/>
    <b v="0"/>
    <n v="3"/>
    <n v="1"/>
    <x v="11"/>
    <n v="106"/>
    <n v="0.28789999999999999"/>
    <x v="40"/>
    <x v="5"/>
    <n v="7"/>
    <n v="55"/>
    <n v="62"/>
  </r>
  <r>
    <n v="108"/>
    <d v="2011-01-05T00:00:00"/>
    <n v="1"/>
    <n v="16"/>
    <b v="0"/>
    <n v="3"/>
    <n v="1"/>
    <x v="11"/>
    <n v="107"/>
    <n v="0.31819999999999998"/>
    <x v="40"/>
    <x v="1"/>
    <n v="4"/>
    <n v="85"/>
    <n v="89"/>
  </r>
  <r>
    <n v="109"/>
    <d v="2011-01-05T00:00:00"/>
    <n v="1"/>
    <n v="17"/>
    <b v="0"/>
    <n v="3"/>
    <n v="1"/>
    <x v="0"/>
    <n v="108"/>
    <n v="0.2273"/>
    <x v="41"/>
    <x v="5"/>
    <n v="4"/>
    <n v="186"/>
    <n v="190"/>
  </r>
  <r>
    <n v="110"/>
    <d v="2011-01-05T00:00:00"/>
    <n v="1"/>
    <n v="18"/>
    <b v="0"/>
    <n v="3"/>
    <n v="1"/>
    <x v="0"/>
    <n v="109"/>
    <n v="0.2424"/>
    <x v="41"/>
    <x v="7"/>
    <n v="3"/>
    <n v="166"/>
    <n v="169"/>
  </r>
  <r>
    <n v="111"/>
    <d v="2011-01-05T00:00:00"/>
    <n v="1"/>
    <n v="19"/>
    <b v="0"/>
    <n v="3"/>
    <n v="1"/>
    <x v="0"/>
    <n v="110"/>
    <n v="0.2576"/>
    <x v="41"/>
    <x v="14"/>
    <n v="5"/>
    <n v="127"/>
    <n v="132"/>
  </r>
  <r>
    <n v="112"/>
    <d v="2011-01-05T00:00:00"/>
    <n v="1"/>
    <n v="20"/>
    <b v="0"/>
    <n v="3"/>
    <n v="1"/>
    <x v="1"/>
    <n v="111"/>
    <n v="0.2273"/>
    <x v="19"/>
    <x v="8"/>
    <n v="7"/>
    <n v="82"/>
    <n v="89"/>
  </r>
  <r>
    <n v="113"/>
    <d v="2011-01-05T00:00:00"/>
    <n v="1"/>
    <n v="21"/>
    <b v="0"/>
    <n v="3"/>
    <n v="1"/>
    <x v="2"/>
    <n v="112"/>
    <n v="0.19700000000000001"/>
    <x v="33"/>
    <x v="5"/>
    <n v="3"/>
    <n v="40"/>
    <n v="43"/>
  </r>
  <r>
    <n v="114"/>
    <d v="2011-01-05T00:00:00"/>
    <n v="1"/>
    <n v="22"/>
    <b v="0"/>
    <n v="3"/>
    <n v="1"/>
    <x v="15"/>
    <n v="113"/>
    <n v="0.19700000000000001"/>
    <x v="28"/>
    <x v="7"/>
    <n v="1"/>
    <n v="41"/>
    <n v="42"/>
  </r>
  <r>
    <n v="115"/>
    <d v="2011-01-05T00:00:00"/>
    <n v="1"/>
    <n v="23"/>
    <b v="0"/>
    <n v="3"/>
    <n v="1"/>
    <x v="2"/>
    <n v="114"/>
    <n v="0.2576"/>
    <x v="19"/>
    <x v="0"/>
    <n v="1"/>
    <n v="18"/>
    <n v="19"/>
  </r>
  <r>
    <n v="116"/>
    <d v="2011-01-06T00:00:00"/>
    <n v="1"/>
    <n v="0"/>
    <b v="0"/>
    <n v="4"/>
    <n v="1"/>
    <x v="15"/>
    <n v="115"/>
    <n v="0.2424"/>
    <x v="28"/>
    <x v="0"/>
    <n v="0"/>
    <n v="11"/>
    <n v="11"/>
  </r>
  <r>
    <n v="117"/>
    <d v="2011-01-06T00:00:00"/>
    <n v="1"/>
    <n v="1"/>
    <b v="0"/>
    <n v="4"/>
    <n v="1"/>
    <x v="13"/>
    <n v="116"/>
    <n v="0.2273"/>
    <x v="26"/>
    <x v="0"/>
    <n v="0"/>
    <n v="4"/>
    <n v="4"/>
  </r>
  <r>
    <n v="118"/>
    <d v="2011-01-06T00:00:00"/>
    <n v="1"/>
    <n v="2"/>
    <b v="0"/>
    <n v="4"/>
    <n v="1"/>
    <x v="13"/>
    <n v="117"/>
    <n v="0.2273"/>
    <x v="26"/>
    <x v="0"/>
    <n v="0"/>
    <n v="2"/>
    <n v="2"/>
  </r>
  <r>
    <n v="119"/>
    <d v="2011-01-06T00:00:00"/>
    <n v="1"/>
    <n v="4"/>
    <b v="0"/>
    <n v="4"/>
    <n v="2"/>
    <x v="13"/>
    <n v="118"/>
    <n v="0.19700000000000001"/>
    <x v="26"/>
    <x v="1"/>
    <n v="0"/>
    <n v="1"/>
    <n v="1"/>
  </r>
  <r>
    <n v="120"/>
    <d v="2011-01-06T00:00:00"/>
    <n v="1"/>
    <n v="5"/>
    <b v="0"/>
    <n v="4"/>
    <n v="2"/>
    <x v="14"/>
    <n v="119"/>
    <n v="0.18179999999999999"/>
    <x v="27"/>
    <x v="1"/>
    <n v="0"/>
    <n v="4"/>
    <n v="4"/>
  </r>
  <r>
    <n v="121"/>
    <d v="2011-01-06T00:00:00"/>
    <n v="1"/>
    <n v="6"/>
    <b v="0"/>
    <n v="4"/>
    <n v="2"/>
    <x v="14"/>
    <n v="120"/>
    <n v="0.16669999999999999"/>
    <x v="30"/>
    <x v="14"/>
    <n v="0"/>
    <n v="36"/>
    <n v="36"/>
  </r>
  <r>
    <n v="122"/>
    <d v="2011-01-06T00:00:00"/>
    <n v="1"/>
    <n v="7"/>
    <b v="0"/>
    <n v="4"/>
    <n v="2"/>
    <x v="13"/>
    <n v="121"/>
    <n v="0.2273"/>
    <x v="29"/>
    <x v="0"/>
    <n v="0"/>
    <n v="95"/>
    <n v="95"/>
  </r>
  <r>
    <n v="123"/>
    <d v="2011-01-06T00:00:00"/>
    <n v="1"/>
    <n v="8"/>
    <b v="0"/>
    <n v="4"/>
    <n v="1"/>
    <x v="13"/>
    <n v="122"/>
    <n v="0.2273"/>
    <x v="29"/>
    <x v="0"/>
    <n v="3"/>
    <n v="216"/>
    <n v="219"/>
  </r>
  <r>
    <n v="124"/>
    <d v="2011-01-06T00:00:00"/>
    <n v="1"/>
    <n v="9"/>
    <b v="0"/>
    <n v="4"/>
    <n v="2"/>
    <x v="15"/>
    <n v="123"/>
    <n v="0.2424"/>
    <x v="33"/>
    <x v="0"/>
    <n v="6"/>
    <n v="116"/>
    <n v="122"/>
  </r>
  <r>
    <n v="125"/>
    <d v="2011-01-06T00:00:00"/>
    <n v="1"/>
    <n v="10"/>
    <b v="0"/>
    <n v="4"/>
    <n v="1"/>
    <x v="2"/>
    <n v="124"/>
    <n v="0.2576"/>
    <x v="19"/>
    <x v="0"/>
    <n v="3"/>
    <n v="42"/>
    <n v="45"/>
  </r>
  <r>
    <n v="126"/>
    <d v="2011-01-06T00:00:00"/>
    <n v="1"/>
    <n v="11"/>
    <b v="0"/>
    <n v="4"/>
    <n v="1"/>
    <x v="1"/>
    <n v="125"/>
    <n v="0.2576"/>
    <x v="18"/>
    <x v="1"/>
    <n v="2"/>
    <n v="57"/>
    <n v="59"/>
  </r>
  <r>
    <n v="127"/>
    <d v="2011-01-06T00:00:00"/>
    <n v="1"/>
    <n v="12"/>
    <b v="0"/>
    <n v="4"/>
    <n v="1"/>
    <x v="12"/>
    <n v="126"/>
    <n v="0.28789999999999999"/>
    <x v="23"/>
    <x v="0"/>
    <n v="6"/>
    <n v="78"/>
    <n v="84"/>
  </r>
  <r>
    <n v="128"/>
    <d v="2011-01-06T00:00:00"/>
    <n v="1"/>
    <n v="13"/>
    <b v="0"/>
    <n v="4"/>
    <n v="1"/>
    <x v="12"/>
    <n v="127"/>
    <n v="0.2727"/>
    <x v="23"/>
    <x v="14"/>
    <n v="12"/>
    <n v="55"/>
    <n v="67"/>
  </r>
  <r>
    <n v="129"/>
    <d v="2011-01-06T00:00:00"/>
    <n v="1"/>
    <n v="14"/>
    <b v="0"/>
    <n v="4"/>
    <n v="1"/>
    <x v="17"/>
    <n v="128"/>
    <n v="0.2727"/>
    <x v="42"/>
    <x v="8"/>
    <n v="11"/>
    <n v="59"/>
    <n v="70"/>
  </r>
  <r>
    <n v="130"/>
    <d v="2011-01-06T00:00:00"/>
    <n v="1"/>
    <n v="15"/>
    <b v="0"/>
    <n v="4"/>
    <n v="1"/>
    <x v="17"/>
    <n v="129"/>
    <n v="0.2727"/>
    <x v="42"/>
    <x v="0"/>
    <n v="8"/>
    <n v="54"/>
    <n v="62"/>
  </r>
  <r>
    <n v="131"/>
    <d v="2011-01-06T00:00:00"/>
    <n v="1"/>
    <n v="16"/>
    <b v="0"/>
    <n v="4"/>
    <n v="1"/>
    <x v="12"/>
    <n v="130"/>
    <n v="0.2576"/>
    <x v="41"/>
    <x v="8"/>
    <n v="12"/>
    <n v="74"/>
    <n v="86"/>
  </r>
  <r>
    <n v="132"/>
    <d v="2011-01-06T00:00:00"/>
    <n v="1"/>
    <n v="17"/>
    <b v="0"/>
    <n v="4"/>
    <n v="1"/>
    <x v="1"/>
    <n v="131"/>
    <n v="0.2273"/>
    <x v="33"/>
    <x v="8"/>
    <n v="9"/>
    <n v="163"/>
    <n v="172"/>
  </r>
  <r>
    <n v="133"/>
    <d v="2011-01-06T00:00:00"/>
    <n v="1"/>
    <n v="18"/>
    <b v="0"/>
    <n v="4"/>
    <n v="1"/>
    <x v="1"/>
    <n v="132"/>
    <n v="0.2273"/>
    <x v="33"/>
    <x v="7"/>
    <n v="5"/>
    <n v="158"/>
    <n v="163"/>
  </r>
  <r>
    <n v="134"/>
    <d v="2011-01-06T00:00:00"/>
    <n v="1"/>
    <n v="19"/>
    <b v="0"/>
    <n v="4"/>
    <n v="1"/>
    <x v="1"/>
    <n v="133"/>
    <n v="0.2576"/>
    <x v="28"/>
    <x v="1"/>
    <n v="3"/>
    <n v="109"/>
    <n v="112"/>
  </r>
  <r>
    <n v="135"/>
    <d v="2011-01-06T00:00:00"/>
    <n v="1"/>
    <n v="20"/>
    <b v="0"/>
    <n v="4"/>
    <n v="1"/>
    <x v="2"/>
    <n v="134"/>
    <n v="0.21210000000000001"/>
    <x v="33"/>
    <x v="8"/>
    <n v="3"/>
    <n v="66"/>
    <n v="69"/>
  </r>
  <r>
    <n v="136"/>
    <d v="2011-01-06T00:00:00"/>
    <n v="1"/>
    <n v="21"/>
    <b v="0"/>
    <n v="4"/>
    <n v="2"/>
    <x v="1"/>
    <n v="135"/>
    <n v="0.21210000000000001"/>
    <x v="28"/>
    <x v="6"/>
    <n v="0"/>
    <n v="48"/>
    <n v="48"/>
  </r>
  <r>
    <n v="137"/>
    <d v="2011-01-06T00:00:00"/>
    <n v="1"/>
    <n v="22"/>
    <b v="0"/>
    <n v="4"/>
    <n v="2"/>
    <x v="1"/>
    <n v="136"/>
    <n v="0.21210000000000001"/>
    <x v="33"/>
    <x v="3"/>
    <n v="1"/>
    <n v="51"/>
    <n v="52"/>
  </r>
  <r>
    <n v="138"/>
    <d v="2011-01-06T00:00:00"/>
    <n v="1"/>
    <n v="23"/>
    <b v="0"/>
    <n v="4"/>
    <n v="2"/>
    <x v="2"/>
    <n v="137"/>
    <n v="0.19700000000000001"/>
    <x v="29"/>
    <x v="5"/>
    <n v="4"/>
    <n v="19"/>
    <n v="23"/>
  </r>
  <r>
    <n v="139"/>
    <d v="2011-01-07T00:00:00"/>
    <n v="1"/>
    <n v="0"/>
    <b v="0"/>
    <n v="5"/>
    <n v="2"/>
    <x v="2"/>
    <n v="138"/>
    <n v="0.19700000000000001"/>
    <x v="26"/>
    <x v="5"/>
    <n v="4"/>
    <n v="13"/>
    <n v="17"/>
  </r>
  <r>
    <n v="140"/>
    <d v="2011-01-07T00:00:00"/>
    <n v="1"/>
    <n v="1"/>
    <b v="0"/>
    <n v="5"/>
    <n v="2"/>
    <x v="2"/>
    <n v="139"/>
    <n v="0.19700000000000001"/>
    <x v="27"/>
    <x v="6"/>
    <n v="2"/>
    <n v="5"/>
    <n v="7"/>
  </r>
  <r>
    <n v="141"/>
    <d v="2011-01-07T00:00:00"/>
    <n v="1"/>
    <n v="2"/>
    <b v="0"/>
    <n v="5"/>
    <n v="2"/>
    <x v="2"/>
    <n v="140"/>
    <n v="0.19700000000000001"/>
    <x v="27"/>
    <x v="6"/>
    <n v="0"/>
    <n v="1"/>
    <n v="1"/>
  </r>
  <r>
    <n v="142"/>
    <d v="2011-01-07T00:00:00"/>
    <n v="1"/>
    <n v="4"/>
    <b v="0"/>
    <n v="5"/>
    <n v="2"/>
    <x v="2"/>
    <n v="141"/>
    <n v="0.21210000000000001"/>
    <x v="27"/>
    <x v="7"/>
    <n v="0"/>
    <n v="1"/>
    <n v="1"/>
  </r>
  <r>
    <n v="143"/>
    <d v="2011-01-07T00:00:00"/>
    <n v="1"/>
    <n v="5"/>
    <b v="0"/>
    <n v="5"/>
    <n v="3"/>
    <x v="1"/>
    <n v="142"/>
    <n v="0.2727"/>
    <x v="28"/>
    <x v="0"/>
    <n v="0"/>
    <n v="5"/>
    <n v="5"/>
  </r>
  <r>
    <n v="144"/>
    <d v="2011-01-07T00:00:00"/>
    <n v="1"/>
    <n v="6"/>
    <b v="0"/>
    <n v="5"/>
    <n v="2"/>
    <x v="2"/>
    <n v="143"/>
    <n v="0.2576"/>
    <x v="27"/>
    <x v="0"/>
    <n v="8"/>
    <n v="26"/>
    <n v="34"/>
  </r>
  <r>
    <n v="145"/>
    <d v="2011-01-07T00:00:00"/>
    <n v="1"/>
    <n v="7"/>
    <b v="0"/>
    <n v="5"/>
    <n v="1"/>
    <x v="2"/>
    <n v="144"/>
    <n v="0.21210000000000001"/>
    <x v="27"/>
    <x v="7"/>
    <n v="8"/>
    <n v="76"/>
    <n v="84"/>
  </r>
  <r>
    <n v="146"/>
    <d v="2011-01-07T00:00:00"/>
    <n v="1"/>
    <n v="8"/>
    <b v="0"/>
    <n v="5"/>
    <n v="1"/>
    <x v="2"/>
    <n v="145"/>
    <n v="0.19700000000000001"/>
    <x v="33"/>
    <x v="2"/>
    <n v="20"/>
    <n v="190"/>
    <n v="210"/>
  </r>
  <r>
    <n v="147"/>
    <d v="2011-01-07T00:00:00"/>
    <n v="1"/>
    <n v="9"/>
    <b v="0"/>
    <n v="5"/>
    <n v="1"/>
    <x v="2"/>
    <n v="146"/>
    <n v="0.18179999999999999"/>
    <x v="19"/>
    <x v="4"/>
    <n v="9"/>
    <n v="125"/>
    <n v="134"/>
  </r>
  <r>
    <n v="148"/>
    <d v="2011-01-07T00:00:00"/>
    <n v="1"/>
    <n v="10"/>
    <b v="0"/>
    <n v="5"/>
    <n v="1"/>
    <x v="1"/>
    <n v="147"/>
    <n v="0.19700000000000001"/>
    <x v="38"/>
    <x v="9"/>
    <n v="16"/>
    <n v="47"/>
    <n v="63"/>
  </r>
  <r>
    <n v="149"/>
    <d v="2011-01-07T00:00:00"/>
    <n v="1"/>
    <n v="11"/>
    <b v="0"/>
    <n v="5"/>
    <n v="2"/>
    <x v="2"/>
    <n v="148"/>
    <n v="0.19700000000000001"/>
    <x v="22"/>
    <x v="6"/>
    <n v="19"/>
    <n v="48"/>
    <n v="67"/>
  </r>
  <r>
    <n v="150"/>
    <d v="2011-01-07T00:00:00"/>
    <n v="1"/>
    <n v="12"/>
    <b v="0"/>
    <n v="5"/>
    <n v="2"/>
    <x v="2"/>
    <n v="149"/>
    <n v="0.19700000000000001"/>
    <x v="38"/>
    <x v="2"/>
    <n v="9"/>
    <n v="50"/>
    <n v="59"/>
  </r>
  <r>
    <n v="151"/>
    <d v="2011-01-07T00:00:00"/>
    <n v="1"/>
    <n v="13"/>
    <b v="0"/>
    <n v="5"/>
    <n v="2"/>
    <x v="2"/>
    <n v="150"/>
    <n v="0.18179999999999999"/>
    <x v="38"/>
    <x v="3"/>
    <n v="9"/>
    <n v="64"/>
    <n v="73"/>
  </r>
  <r>
    <n v="152"/>
    <d v="2011-01-07T00:00:00"/>
    <n v="1"/>
    <n v="14"/>
    <b v="0"/>
    <n v="5"/>
    <n v="2"/>
    <x v="2"/>
    <n v="151"/>
    <n v="0.19700000000000001"/>
    <x v="22"/>
    <x v="2"/>
    <n v="7"/>
    <n v="43"/>
    <n v="50"/>
  </r>
  <r>
    <n v="153"/>
    <d v="2011-01-07T00:00:00"/>
    <n v="1"/>
    <n v="15"/>
    <b v="0"/>
    <n v="5"/>
    <n v="2"/>
    <x v="2"/>
    <n v="152"/>
    <n v="0.21210000000000001"/>
    <x v="38"/>
    <x v="8"/>
    <n v="9"/>
    <n v="63"/>
    <n v="72"/>
  </r>
  <r>
    <n v="154"/>
    <d v="2011-01-07T00:00:00"/>
    <n v="1"/>
    <n v="16"/>
    <b v="0"/>
    <n v="5"/>
    <n v="2"/>
    <x v="2"/>
    <n v="153"/>
    <n v="0.21210000000000001"/>
    <x v="38"/>
    <x v="8"/>
    <n v="5"/>
    <n v="82"/>
    <n v="87"/>
  </r>
  <r>
    <n v="155"/>
    <d v="2011-01-07T00:00:00"/>
    <n v="1"/>
    <n v="17"/>
    <b v="0"/>
    <n v="5"/>
    <n v="2"/>
    <x v="2"/>
    <n v="154"/>
    <n v="0.2576"/>
    <x v="38"/>
    <x v="0"/>
    <n v="9"/>
    <n v="178"/>
    <n v="187"/>
  </r>
  <r>
    <n v="156"/>
    <d v="2011-01-07T00:00:00"/>
    <n v="1"/>
    <n v="18"/>
    <b v="0"/>
    <n v="5"/>
    <n v="1"/>
    <x v="2"/>
    <n v="155"/>
    <n v="0.2273"/>
    <x v="22"/>
    <x v="1"/>
    <n v="7"/>
    <n v="116"/>
    <n v="123"/>
  </r>
  <r>
    <n v="157"/>
    <d v="2011-01-07T00:00:00"/>
    <n v="1"/>
    <n v="19"/>
    <b v="0"/>
    <n v="5"/>
    <n v="1"/>
    <x v="13"/>
    <n v="156"/>
    <n v="0.19700000000000001"/>
    <x v="28"/>
    <x v="1"/>
    <n v="3"/>
    <n v="92"/>
    <n v="95"/>
  </r>
  <r>
    <n v="158"/>
    <d v="2011-01-07T00:00:00"/>
    <n v="1"/>
    <n v="20"/>
    <b v="0"/>
    <n v="5"/>
    <n v="1"/>
    <x v="15"/>
    <n v="157"/>
    <n v="0.21210000000000001"/>
    <x v="19"/>
    <x v="14"/>
    <n v="1"/>
    <n v="50"/>
    <n v="51"/>
  </r>
  <r>
    <n v="159"/>
    <d v="2011-01-07T00:00:00"/>
    <n v="1"/>
    <n v="21"/>
    <b v="0"/>
    <n v="5"/>
    <n v="1"/>
    <x v="15"/>
    <n v="158"/>
    <n v="0.19700000000000001"/>
    <x v="19"/>
    <x v="7"/>
    <n v="0"/>
    <n v="39"/>
    <n v="39"/>
  </r>
  <r>
    <n v="160"/>
    <d v="2011-01-07T00:00:00"/>
    <n v="1"/>
    <n v="22"/>
    <b v="0"/>
    <n v="5"/>
    <n v="2"/>
    <x v="15"/>
    <n v="159"/>
    <n v="0.19700000000000001"/>
    <x v="21"/>
    <x v="8"/>
    <n v="2"/>
    <n v="34"/>
    <n v="36"/>
  </r>
  <r>
    <n v="161"/>
    <d v="2011-01-07T00:00:00"/>
    <n v="1"/>
    <n v="23"/>
    <b v="0"/>
    <n v="5"/>
    <n v="2"/>
    <x v="15"/>
    <n v="160"/>
    <n v="0.19700000000000001"/>
    <x v="33"/>
    <x v="8"/>
    <n v="1"/>
    <n v="14"/>
    <n v="15"/>
  </r>
  <r>
    <n v="162"/>
    <d v="2011-01-08T00:00:00"/>
    <n v="1"/>
    <n v="0"/>
    <b v="0"/>
    <n v="6"/>
    <n v="2"/>
    <x v="15"/>
    <n v="161"/>
    <n v="0.19700000000000001"/>
    <x v="33"/>
    <x v="8"/>
    <n v="1"/>
    <n v="24"/>
    <n v="25"/>
  </r>
  <r>
    <n v="163"/>
    <d v="2011-01-08T00:00:00"/>
    <n v="1"/>
    <n v="1"/>
    <b v="0"/>
    <n v="6"/>
    <n v="2"/>
    <x v="15"/>
    <n v="162"/>
    <n v="0.21210000000000001"/>
    <x v="28"/>
    <x v="1"/>
    <n v="1"/>
    <n v="15"/>
    <n v="16"/>
  </r>
  <r>
    <n v="164"/>
    <d v="2011-01-08T00:00:00"/>
    <n v="1"/>
    <n v="2"/>
    <b v="0"/>
    <n v="6"/>
    <n v="2"/>
    <x v="15"/>
    <n v="163"/>
    <n v="0.2424"/>
    <x v="28"/>
    <x v="0"/>
    <n v="3"/>
    <n v="13"/>
    <n v="16"/>
  </r>
  <r>
    <n v="165"/>
    <d v="2011-01-08T00:00:00"/>
    <n v="1"/>
    <n v="3"/>
    <b v="0"/>
    <n v="6"/>
    <n v="3"/>
    <x v="15"/>
    <n v="164"/>
    <n v="0.19700000000000001"/>
    <x v="28"/>
    <x v="8"/>
    <n v="0"/>
    <n v="7"/>
    <n v="7"/>
  </r>
  <r>
    <n v="166"/>
    <d v="2011-01-08T00:00:00"/>
    <n v="1"/>
    <n v="4"/>
    <b v="0"/>
    <n v="6"/>
    <n v="3"/>
    <x v="15"/>
    <n v="165"/>
    <n v="0.19700000000000001"/>
    <x v="28"/>
    <x v="8"/>
    <n v="0"/>
    <n v="1"/>
    <n v="1"/>
  </r>
  <r>
    <n v="167"/>
    <d v="2011-01-08T00:00:00"/>
    <n v="1"/>
    <n v="5"/>
    <b v="0"/>
    <n v="6"/>
    <n v="2"/>
    <x v="13"/>
    <n v="166"/>
    <n v="0.16669999999999999"/>
    <x v="32"/>
    <x v="8"/>
    <n v="0"/>
    <n v="5"/>
    <n v="5"/>
  </r>
  <r>
    <n v="168"/>
    <d v="2011-01-08T00:00:00"/>
    <n v="1"/>
    <n v="6"/>
    <b v="0"/>
    <n v="6"/>
    <n v="2"/>
    <x v="13"/>
    <n v="167"/>
    <n v="0.16669999999999999"/>
    <x v="32"/>
    <x v="8"/>
    <n v="0"/>
    <n v="2"/>
    <n v="2"/>
  </r>
  <r>
    <n v="169"/>
    <d v="2011-01-08T00:00:00"/>
    <n v="1"/>
    <n v="7"/>
    <b v="0"/>
    <n v="6"/>
    <n v="2"/>
    <x v="13"/>
    <n v="168"/>
    <n v="0.18179999999999999"/>
    <x v="32"/>
    <x v="14"/>
    <n v="1"/>
    <n v="8"/>
    <n v="9"/>
  </r>
  <r>
    <n v="170"/>
    <d v="2011-01-08T00:00:00"/>
    <n v="1"/>
    <n v="8"/>
    <b v="0"/>
    <n v="6"/>
    <n v="3"/>
    <x v="13"/>
    <n v="169"/>
    <n v="0.18179999999999999"/>
    <x v="43"/>
    <x v="14"/>
    <n v="0"/>
    <n v="15"/>
    <n v="15"/>
  </r>
  <r>
    <n v="171"/>
    <d v="2011-01-08T00:00:00"/>
    <n v="1"/>
    <n v="9"/>
    <b v="0"/>
    <n v="6"/>
    <n v="3"/>
    <x v="13"/>
    <n v="170"/>
    <n v="0.18179999999999999"/>
    <x v="43"/>
    <x v="14"/>
    <n v="0"/>
    <n v="20"/>
    <n v="20"/>
  </r>
  <r>
    <n v="172"/>
    <d v="2011-01-08T00:00:00"/>
    <n v="1"/>
    <n v="10"/>
    <b v="0"/>
    <n v="6"/>
    <n v="2"/>
    <x v="15"/>
    <n v="171"/>
    <n v="0.19700000000000001"/>
    <x v="1"/>
    <x v="8"/>
    <n v="5"/>
    <n v="56"/>
    <n v="61"/>
  </r>
  <r>
    <n v="173"/>
    <d v="2011-01-08T00:00:00"/>
    <n v="1"/>
    <n v="11"/>
    <b v="0"/>
    <n v="6"/>
    <n v="2"/>
    <x v="2"/>
    <n v="172"/>
    <n v="0.18179999999999999"/>
    <x v="27"/>
    <x v="13"/>
    <n v="2"/>
    <n v="60"/>
    <n v="62"/>
  </r>
  <r>
    <n v="174"/>
    <d v="2011-01-08T00:00:00"/>
    <n v="1"/>
    <n v="12"/>
    <b v="0"/>
    <n v="6"/>
    <n v="2"/>
    <x v="2"/>
    <n v="173"/>
    <n v="0.18179999999999999"/>
    <x v="29"/>
    <x v="11"/>
    <n v="8"/>
    <n v="90"/>
    <n v="98"/>
  </r>
  <r>
    <n v="175"/>
    <d v="2011-01-08T00:00:00"/>
    <n v="1"/>
    <n v="13"/>
    <b v="0"/>
    <n v="6"/>
    <n v="1"/>
    <x v="2"/>
    <n v="174"/>
    <n v="0.18179999999999999"/>
    <x v="18"/>
    <x v="9"/>
    <n v="7"/>
    <n v="95"/>
    <n v="102"/>
  </r>
  <r>
    <n v="176"/>
    <d v="2011-01-08T00:00:00"/>
    <n v="1"/>
    <n v="14"/>
    <b v="0"/>
    <n v="6"/>
    <n v="1"/>
    <x v="2"/>
    <n v="175"/>
    <n v="0.16669999999999999"/>
    <x v="25"/>
    <x v="15"/>
    <n v="12"/>
    <n v="83"/>
    <n v="95"/>
  </r>
  <r>
    <n v="177"/>
    <d v="2011-01-08T00:00:00"/>
    <n v="1"/>
    <n v="15"/>
    <b v="0"/>
    <n v="6"/>
    <n v="1"/>
    <x v="2"/>
    <n v="176"/>
    <n v="0.16669999999999999"/>
    <x v="25"/>
    <x v="10"/>
    <n v="5"/>
    <n v="69"/>
    <n v="74"/>
  </r>
  <r>
    <n v="178"/>
    <d v="2011-01-08T00:00:00"/>
    <n v="1"/>
    <n v="16"/>
    <b v="0"/>
    <n v="6"/>
    <n v="1"/>
    <x v="15"/>
    <n v="177"/>
    <n v="0.13639999999999999"/>
    <x v="44"/>
    <x v="10"/>
    <n v="8"/>
    <n v="68"/>
    <n v="76"/>
  </r>
  <r>
    <n v="179"/>
    <d v="2011-01-08T00:00:00"/>
    <n v="1"/>
    <n v="17"/>
    <b v="0"/>
    <n v="6"/>
    <n v="1"/>
    <x v="13"/>
    <n v="178"/>
    <n v="0.1212"/>
    <x v="38"/>
    <x v="16"/>
    <n v="5"/>
    <n v="64"/>
    <n v="69"/>
  </r>
  <r>
    <n v="180"/>
    <d v="2011-01-08T00:00:00"/>
    <n v="1"/>
    <n v="18"/>
    <b v="0"/>
    <n v="6"/>
    <n v="1"/>
    <x v="14"/>
    <n v="179"/>
    <n v="0.1212"/>
    <x v="17"/>
    <x v="4"/>
    <n v="3"/>
    <n v="52"/>
    <n v="55"/>
  </r>
  <r>
    <n v="181"/>
    <d v="2011-01-08T00:00:00"/>
    <n v="1"/>
    <n v="19"/>
    <b v="0"/>
    <n v="6"/>
    <n v="1"/>
    <x v="14"/>
    <n v="180"/>
    <n v="0.1212"/>
    <x v="42"/>
    <x v="2"/>
    <n v="4"/>
    <n v="26"/>
    <n v="30"/>
  </r>
  <r>
    <n v="182"/>
    <d v="2011-01-08T00:00:00"/>
    <n v="1"/>
    <n v="20"/>
    <b v="0"/>
    <n v="6"/>
    <n v="1"/>
    <x v="16"/>
    <n v="181"/>
    <n v="0.1212"/>
    <x v="42"/>
    <x v="2"/>
    <n v="0"/>
    <n v="28"/>
    <n v="28"/>
  </r>
  <r>
    <n v="183"/>
    <d v="2011-01-08T00:00:00"/>
    <n v="1"/>
    <n v="21"/>
    <b v="0"/>
    <n v="6"/>
    <n v="1"/>
    <x v="16"/>
    <n v="182"/>
    <n v="0.1061"/>
    <x v="17"/>
    <x v="11"/>
    <n v="2"/>
    <n v="35"/>
    <n v="37"/>
  </r>
  <r>
    <n v="184"/>
    <d v="2011-01-08T00:00:00"/>
    <n v="1"/>
    <n v="22"/>
    <b v="0"/>
    <n v="6"/>
    <n v="1"/>
    <x v="16"/>
    <n v="183"/>
    <n v="0.1061"/>
    <x v="42"/>
    <x v="13"/>
    <n v="1"/>
    <n v="33"/>
    <n v="34"/>
  </r>
  <r>
    <n v="185"/>
    <d v="2011-01-08T00:00:00"/>
    <n v="1"/>
    <n v="23"/>
    <b v="0"/>
    <n v="6"/>
    <n v="1"/>
    <x v="18"/>
    <n v="184"/>
    <n v="6.0600000000000001E-2"/>
    <x v="17"/>
    <x v="10"/>
    <n v="0"/>
    <n v="22"/>
    <n v="22"/>
  </r>
  <r>
    <n v="186"/>
    <d v="2011-01-09T00:00:00"/>
    <n v="1"/>
    <n v="0"/>
    <b v="0"/>
    <n v="0"/>
    <n v="1"/>
    <x v="18"/>
    <n v="185"/>
    <n v="7.5800000000000006E-2"/>
    <x v="16"/>
    <x v="13"/>
    <n v="1"/>
    <n v="24"/>
    <n v="25"/>
  </r>
  <r>
    <n v="187"/>
    <d v="2011-01-09T00:00:00"/>
    <n v="1"/>
    <n v="1"/>
    <b v="0"/>
    <n v="0"/>
    <n v="1"/>
    <x v="18"/>
    <n v="186"/>
    <n v="6.0600000000000001E-2"/>
    <x v="16"/>
    <x v="17"/>
    <n v="0"/>
    <n v="12"/>
    <n v="12"/>
  </r>
  <r>
    <n v="188"/>
    <d v="2011-01-09T00:00:00"/>
    <n v="1"/>
    <n v="2"/>
    <b v="0"/>
    <n v="0"/>
    <n v="1"/>
    <x v="18"/>
    <n v="187"/>
    <n v="6.0600000000000001E-2"/>
    <x v="15"/>
    <x v="17"/>
    <n v="0"/>
    <n v="11"/>
    <n v="11"/>
  </r>
  <r>
    <n v="189"/>
    <d v="2011-01-09T00:00:00"/>
    <n v="1"/>
    <n v="3"/>
    <b v="0"/>
    <n v="0"/>
    <n v="1"/>
    <x v="18"/>
    <n v="188"/>
    <n v="7.5800000000000006E-2"/>
    <x v="15"/>
    <x v="12"/>
    <n v="0"/>
    <n v="4"/>
    <n v="4"/>
  </r>
  <r>
    <n v="190"/>
    <d v="2011-01-09T00:00:00"/>
    <n v="1"/>
    <n v="4"/>
    <b v="0"/>
    <n v="0"/>
    <n v="1"/>
    <x v="19"/>
    <n v="189"/>
    <n v="9.0899999999999995E-2"/>
    <x v="45"/>
    <x v="5"/>
    <n v="0"/>
    <n v="1"/>
    <n v="1"/>
  </r>
  <r>
    <n v="191"/>
    <d v="2011-01-09T00:00:00"/>
    <n v="1"/>
    <n v="5"/>
    <b v="0"/>
    <n v="0"/>
    <n v="1"/>
    <x v="19"/>
    <n v="190"/>
    <n v="9.0899999999999995E-2"/>
    <x v="45"/>
    <x v="5"/>
    <n v="0"/>
    <n v="1"/>
    <n v="1"/>
  </r>
  <r>
    <n v="192"/>
    <d v="2011-01-09T00:00:00"/>
    <n v="1"/>
    <n v="6"/>
    <b v="0"/>
    <n v="0"/>
    <n v="1"/>
    <x v="18"/>
    <n v="191"/>
    <n v="9.0899999999999995E-2"/>
    <x v="36"/>
    <x v="3"/>
    <n v="0"/>
    <n v="1"/>
    <n v="1"/>
  </r>
  <r>
    <n v="193"/>
    <d v="2011-01-09T00:00:00"/>
    <n v="1"/>
    <n v="7"/>
    <b v="0"/>
    <n v="0"/>
    <n v="1"/>
    <x v="19"/>
    <n v="192"/>
    <n v="9.0899999999999995E-2"/>
    <x v="45"/>
    <x v="5"/>
    <n v="1"/>
    <n v="5"/>
    <n v="6"/>
  </r>
  <r>
    <n v="194"/>
    <d v="2011-01-09T00:00:00"/>
    <n v="1"/>
    <n v="8"/>
    <b v="0"/>
    <n v="0"/>
    <n v="1"/>
    <x v="18"/>
    <n v="193"/>
    <n v="9.0899999999999995E-2"/>
    <x v="36"/>
    <x v="3"/>
    <n v="0"/>
    <n v="10"/>
    <n v="10"/>
  </r>
  <r>
    <n v="195"/>
    <d v="2011-01-09T00:00:00"/>
    <n v="1"/>
    <n v="9"/>
    <b v="0"/>
    <n v="0"/>
    <n v="1"/>
    <x v="16"/>
    <n v="194"/>
    <n v="7.5800000000000006E-2"/>
    <x v="15"/>
    <x v="18"/>
    <n v="0"/>
    <n v="19"/>
    <n v="19"/>
  </r>
  <r>
    <n v="196"/>
    <d v="2011-01-09T00:00:00"/>
    <n v="1"/>
    <n v="10"/>
    <b v="0"/>
    <n v="0"/>
    <n v="1"/>
    <x v="14"/>
    <n v="195"/>
    <n v="0.1061"/>
    <x v="21"/>
    <x v="13"/>
    <n v="0"/>
    <n v="49"/>
    <n v="49"/>
  </r>
  <r>
    <n v="197"/>
    <d v="2011-01-09T00:00:00"/>
    <n v="1"/>
    <n v="11"/>
    <b v="0"/>
    <n v="0"/>
    <n v="1"/>
    <x v="13"/>
    <n v="196"/>
    <n v="0.1212"/>
    <x v="22"/>
    <x v="18"/>
    <n v="2"/>
    <n v="47"/>
    <n v="49"/>
  </r>
  <r>
    <n v="198"/>
    <d v="2011-01-09T00:00:00"/>
    <n v="1"/>
    <n v="12"/>
    <b v="0"/>
    <n v="0"/>
    <n v="1"/>
    <x v="15"/>
    <n v="197"/>
    <n v="0.13639999999999999"/>
    <x v="38"/>
    <x v="10"/>
    <n v="4"/>
    <n v="79"/>
    <n v="83"/>
  </r>
  <r>
    <n v="199"/>
    <d v="2011-01-09T00:00:00"/>
    <n v="1"/>
    <n v="13"/>
    <b v="0"/>
    <n v="0"/>
    <n v="1"/>
    <x v="2"/>
    <n v="198"/>
    <n v="0.16669999999999999"/>
    <x v="46"/>
    <x v="10"/>
    <n v="6"/>
    <n v="69"/>
    <n v="75"/>
  </r>
  <r>
    <n v="200"/>
    <d v="2011-01-09T00:00:00"/>
    <n v="1"/>
    <n v="14"/>
    <b v="0"/>
    <n v="0"/>
    <n v="1"/>
    <x v="1"/>
    <n v="199"/>
    <n v="0.18179999999999999"/>
    <x v="25"/>
    <x v="17"/>
    <n v="8"/>
    <n v="64"/>
    <n v="72"/>
  </r>
  <r>
    <n v="201"/>
    <d v="2011-01-09T00:00:00"/>
    <n v="1"/>
    <n v="15"/>
    <b v="0"/>
    <n v="0"/>
    <n v="1"/>
    <x v="1"/>
    <n v="200"/>
    <n v="0.19700000000000001"/>
    <x v="23"/>
    <x v="11"/>
    <n v="5"/>
    <n v="77"/>
    <n v="82"/>
  </r>
  <r>
    <n v="202"/>
    <d v="2011-01-09T00:00:00"/>
    <n v="1"/>
    <n v="16"/>
    <b v="0"/>
    <n v="0"/>
    <n v="1"/>
    <x v="2"/>
    <n v="201"/>
    <n v="0.16669999999999999"/>
    <x v="46"/>
    <x v="10"/>
    <n v="13"/>
    <n v="79"/>
    <n v="92"/>
  </r>
  <r>
    <n v="203"/>
    <d v="2011-01-09T00:00:00"/>
    <n v="1"/>
    <n v="17"/>
    <b v="0"/>
    <n v="0"/>
    <n v="1"/>
    <x v="15"/>
    <n v="202"/>
    <n v="0.1515"/>
    <x v="38"/>
    <x v="13"/>
    <n v="3"/>
    <n v="59"/>
    <n v="62"/>
  </r>
  <r>
    <n v="204"/>
    <d v="2011-01-09T00:00:00"/>
    <n v="1"/>
    <n v="18"/>
    <b v="0"/>
    <n v="0"/>
    <n v="1"/>
    <x v="13"/>
    <n v="203"/>
    <n v="0.13639999999999999"/>
    <x v="22"/>
    <x v="9"/>
    <n v="4"/>
    <n v="44"/>
    <n v="48"/>
  </r>
  <r>
    <n v="205"/>
    <d v="2011-01-09T00:00:00"/>
    <n v="1"/>
    <n v="19"/>
    <b v="0"/>
    <n v="0"/>
    <n v="1"/>
    <x v="13"/>
    <n v="204"/>
    <n v="0.13639999999999999"/>
    <x v="21"/>
    <x v="9"/>
    <n v="1"/>
    <n v="40"/>
    <n v="41"/>
  </r>
  <r>
    <n v="206"/>
    <d v="2011-01-09T00:00:00"/>
    <n v="1"/>
    <n v="20"/>
    <b v="0"/>
    <n v="0"/>
    <n v="1"/>
    <x v="14"/>
    <n v="205"/>
    <n v="0.1212"/>
    <x v="15"/>
    <x v="2"/>
    <n v="0"/>
    <n v="38"/>
    <n v="38"/>
  </r>
  <r>
    <n v="207"/>
    <d v="2011-01-09T00:00:00"/>
    <n v="1"/>
    <n v="21"/>
    <b v="0"/>
    <n v="0"/>
    <n v="1"/>
    <x v="14"/>
    <n v="206"/>
    <n v="0.1061"/>
    <x v="15"/>
    <x v="12"/>
    <n v="1"/>
    <n v="19"/>
    <n v="20"/>
  </r>
  <r>
    <n v="208"/>
    <d v="2011-01-09T00:00:00"/>
    <n v="1"/>
    <n v="22"/>
    <b v="0"/>
    <n v="0"/>
    <n v="1"/>
    <x v="14"/>
    <n v="207"/>
    <n v="0.1212"/>
    <x v="15"/>
    <x v="4"/>
    <n v="5"/>
    <n v="10"/>
    <n v="15"/>
  </r>
  <r>
    <n v="209"/>
    <d v="2011-01-09T00:00:00"/>
    <n v="1"/>
    <n v="23"/>
    <b v="0"/>
    <n v="0"/>
    <n v="1"/>
    <x v="16"/>
    <n v="208"/>
    <n v="0.13639999999999999"/>
    <x v="20"/>
    <x v="5"/>
    <n v="0"/>
    <n v="6"/>
    <n v="6"/>
  </r>
  <r>
    <n v="210"/>
    <d v="2011-01-10T00:00:00"/>
    <n v="1"/>
    <n v="0"/>
    <b v="0"/>
    <n v="1"/>
    <n v="1"/>
    <x v="16"/>
    <n v="209"/>
    <n v="0.1212"/>
    <x v="20"/>
    <x v="3"/>
    <n v="2"/>
    <n v="3"/>
    <n v="5"/>
  </r>
  <r>
    <n v="211"/>
    <d v="2011-01-10T00:00:00"/>
    <n v="1"/>
    <n v="1"/>
    <b v="0"/>
    <n v="1"/>
    <n v="1"/>
    <x v="16"/>
    <n v="210"/>
    <n v="0.1212"/>
    <x v="20"/>
    <x v="3"/>
    <n v="1"/>
    <n v="0"/>
    <n v="1"/>
  </r>
  <r>
    <n v="212"/>
    <d v="2011-01-10T00:00:00"/>
    <n v="1"/>
    <n v="2"/>
    <b v="0"/>
    <n v="1"/>
    <n v="1"/>
    <x v="16"/>
    <n v="211"/>
    <n v="0.1212"/>
    <x v="20"/>
    <x v="6"/>
    <n v="0"/>
    <n v="3"/>
    <n v="3"/>
  </r>
  <r>
    <n v="213"/>
    <d v="2011-01-10T00:00:00"/>
    <n v="1"/>
    <n v="3"/>
    <b v="0"/>
    <n v="1"/>
    <n v="1"/>
    <x v="16"/>
    <n v="212"/>
    <n v="0.1212"/>
    <x v="20"/>
    <x v="6"/>
    <n v="0"/>
    <n v="1"/>
    <n v="1"/>
  </r>
  <r>
    <n v="214"/>
    <d v="2011-01-10T00:00:00"/>
    <n v="1"/>
    <n v="4"/>
    <b v="0"/>
    <n v="1"/>
    <n v="1"/>
    <x v="18"/>
    <n v="213"/>
    <n v="0.1212"/>
    <x v="47"/>
    <x v="7"/>
    <n v="1"/>
    <n v="2"/>
    <n v="3"/>
  </r>
  <r>
    <n v="215"/>
    <d v="2011-01-10T00:00:00"/>
    <n v="1"/>
    <n v="5"/>
    <b v="0"/>
    <n v="1"/>
    <n v="1"/>
    <x v="18"/>
    <n v="214"/>
    <n v="0.1061"/>
    <x v="47"/>
    <x v="2"/>
    <n v="0"/>
    <n v="3"/>
    <n v="3"/>
  </r>
  <r>
    <n v="216"/>
    <d v="2011-01-10T00:00:00"/>
    <n v="1"/>
    <n v="6"/>
    <b v="0"/>
    <n v="1"/>
    <n v="1"/>
    <x v="16"/>
    <n v="215"/>
    <n v="0.1212"/>
    <x v="20"/>
    <x v="3"/>
    <n v="0"/>
    <n v="31"/>
    <n v="31"/>
  </r>
  <r>
    <n v="217"/>
    <d v="2011-01-10T00:00:00"/>
    <n v="1"/>
    <n v="7"/>
    <b v="0"/>
    <n v="1"/>
    <n v="1"/>
    <x v="16"/>
    <n v="216"/>
    <n v="0.1212"/>
    <x v="20"/>
    <x v="6"/>
    <n v="2"/>
    <n v="75"/>
    <n v="77"/>
  </r>
  <r>
    <n v="218"/>
    <d v="2011-01-10T00:00:00"/>
    <n v="1"/>
    <n v="8"/>
    <b v="0"/>
    <n v="1"/>
    <n v="2"/>
    <x v="16"/>
    <n v="217"/>
    <n v="0.1212"/>
    <x v="20"/>
    <x v="3"/>
    <n v="4"/>
    <n v="184"/>
    <n v="188"/>
  </r>
  <r>
    <n v="219"/>
    <d v="2011-01-10T00:00:00"/>
    <n v="1"/>
    <n v="9"/>
    <b v="0"/>
    <n v="1"/>
    <n v="2"/>
    <x v="14"/>
    <n v="218"/>
    <n v="0.1212"/>
    <x v="20"/>
    <x v="2"/>
    <n v="2"/>
    <n v="92"/>
    <n v="94"/>
  </r>
  <r>
    <n v="220"/>
    <d v="2011-01-10T00:00:00"/>
    <n v="1"/>
    <n v="10"/>
    <b v="0"/>
    <n v="1"/>
    <n v="2"/>
    <x v="14"/>
    <n v="219"/>
    <n v="0.1212"/>
    <x v="20"/>
    <x v="4"/>
    <n v="0"/>
    <n v="31"/>
    <n v="31"/>
  </r>
  <r>
    <n v="221"/>
    <d v="2011-01-10T00:00:00"/>
    <n v="1"/>
    <n v="11"/>
    <b v="0"/>
    <n v="1"/>
    <n v="2"/>
    <x v="13"/>
    <n v="220"/>
    <n v="0.13639999999999999"/>
    <x v="19"/>
    <x v="3"/>
    <n v="2"/>
    <n v="28"/>
    <n v="30"/>
  </r>
  <r>
    <n v="222"/>
    <d v="2011-01-10T00:00:00"/>
    <n v="1"/>
    <n v="12"/>
    <b v="0"/>
    <n v="1"/>
    <n v="2"/>
    <x v="2"/>
    <n v="221"/>
    <n v="0.18179999999999999"/>
    <x v="22"/>
    <x v="3"/>
    <n v="5"/>
    <n v="47"/>
    <n v="52"/>
  </r>
  <r>
    <n v="223"/>
    <d v="2011-01-10T00:00:00"/>
    <n v="1"/>
    <n v="13"/>
    <b v="0"/>
    <n v="1"/>
    <n v="2"/>
    <x v="2"/>
    <n v="222"/>
    <n v="0.18179999999999999"/>
    <x v="22"/>
    <x v="3"/>
    <n v="4"/>
    <n v="50"/>
    <n v="54"/>
  </r>
  <r>
    <n v="224"/>
    <d v="2011-01-10T00:00:00"/>
    <n v="1"/>
    <n v="14"/>
    <b v="0"/>
    <n v="1"/>
    <n v="2"/>
    <x v="2"/>
    <n v="223"/>
    <n v="0.19700000000000001"/>
    <x v="22"/>
    <x v="6"/>
    <n v="0"/>
    <n v="47"/>
    <n v="47"/>
  </r>
  <r>
    <n v="225"/>
    <d v="2011-01-10T00:00:00"/>
    <n v="1"/>
    <n v="15"/>
    <b v="0"/>
    <n v="1"/>
    <n v="2"/>
    <x v="2"/>
    <n v="224"/>
    <n v="0.19700000000000001"/>
    <x v="22"/>
    <x v="6"/>
    <n v="2"/>
    <n v="43"/>
    <n v="45"/>
  </r>
  <r>
    <n v="226"/>
    <d v="2011-01-10T00:00:00"/>
    <n v="1"/>
    <n v="16"/>
    <b v="0"/>
    <n v="1"/>
    <n v="1"/>
    <x v="2"/>
    <n v="225"/>
    <n v="0.21210000000000001"/>
    <x v="22"/>
    <x v="7"/>
    <n v="4"/>
    <n v="70"/>
    <n v="74"/>
  </r>
  <r>
    <n v="227"/>
    <d v="2011-01-10T00:00:00"/>
    <n v="1"/>
    <n v="17"/>
    <b v="0"/>
    <n v="1"/>
    <n v="1"/>
    <x v="2"/>
    <n v="226"/>
    <n v="0.2273"/>
    <x v="22"/>
    <x v="14"/>
    <n v="4"/>
    <n v="174"/>
    <n v="178"/>
  </r>
  <r>
    <n v="228"/>
    <d v="2011-01-10T00:00:00"/>
    <n v="1"/>
    <n v="18"/>
    <b v="0"/>
    <n v="1"/>
    <n v="1"/>
    <x v="2"/>
    <n v="227"/>
    <n v="0.19700000000000001"/>
    <x v="22"/>
    <x v="6"/>
    <n v="1"/>
    <n v="154"/>
    <n v="155"/>
  </r>
  <r>
    <n v="229"/>
    <d v="2011-01-10T00:00:00"/>
    <n v="1"/>
    <n v="19"/>
    <b v="0"/>
    <n v="1"/>
    <n v="1"/>
    <x v="13"/>
    <n v="228"/>
    <n v="0.16669999999999999"/>
    <x v="19"/>
    <x v="8"/>
    <n v="3"/>
    <n v="92"/>
    <n v="95"/>
  </r>
  <r>
    <n v="230"/>
    <d v="2011-01-10T00:00:00"/>
    <n v="1"/>
    <n v="20"/>
    <b v="0"/>
    <n v="1"/>
    <n v="1"/>
    <x v="13"/>
    <n v="229"/>
    <n v="0.16669999999999999"/>
    <x v="20"/>
    <x v="8"/>
    <n v="1"/>
    <n v="73"/>
    <n v="74"/>
  </r>
  <r>
    <n v="231"/>
    <d v="2011-01-10T00:00:00"/>
    <n v="1"/>
    <n v="21"/>
    <b v="0"/>
    <n v="1"/>
    <n v="1"/>
    <x v="14"/>
    <n v="230"/>
    <n v="0.13639999999999999"/>
    <x v="29"/>
    <x v="5"/>
    <n v="1"/>
    <n v="37"/>
    <n v="38"/>
  </r>
  <r>
    <n v="232"/>
    <d v="2011-01-10T00:00:00"/>
    <n v="1"/>
    <n v="22"/>
    <b v="0"/>
    <n v="1"/>
    <n v="1"/>
    <x v="14"/>
    <n v="231"/>
    <n v="0.1515"/>
    <x v="29"/>
    <x v="8"/>
    <n v="2"/>
    <n v="22"/>
    <n v="24"/>
  </r>
  <r>
    <n v="233"/>
    <d v="2011-01-10T00:00:00"/>
    <n v="1"/>
    <n v="23"/>
    <b v="0"/>
    <n v="1"/>
    <n v="1"/>
    <x v="14"/>
    <n v="232"/>
    <n v="0.1515"/>
    <x v="29"/>
    <x v="8"/>
    <n v="0"/>
    <n v="18"/>
    <n v="18"/>
  </r>
  <r>
    <n v="234"/>
    <d v="2011-01-11T00:00:00"/>
    <n v="1"/>
    <n v="0"/>
    <b v="0"/>
    <n v="2"/>
    <n v="1"/>
    <x v="14"/>
    <n v="233"/>
    <n v="0.16669999999999999"/>
    <x v="29"/>
    <x v="14"/>
    <n v="2"/>
    <n v="10"/>
    <n v="12"/>
  </r>
  <r>
    <n v="235"/>
    <d v="2011-01-11T00:00:00"/>
    <n v="1"/>
    <n v="1"/>
    <b v="0"/>
    <n v="2"/>
    <n v="1"/>
    <x v="14"/>
    <n v="234"/>
    <n v="0.1515"/>
    <x v="29"/>
    <x v="8"/>
    <n v="0"/>
    <n v="3"/>
    <n v="3"/>
  </r>
  <r>
    <n v="236"/>
    <d v="2011-01-11T00:00:00"/>
    <n v="1"/>
    <n v="2"/>
    <b v="0"/>
    <n v="2"/>
    <n v="2"/>
    <x v="13"/>
    <n v="235"/>
    <n v="0.1515"/>
    <x v="28"/>
    <x v="5"/>
    <n v="0"/>
    <n v="3"/>
    <n v="3"/>
  </r>
  <r>
    <n v="237"/>
    <d v="2011-01-11T00:00:00"/>
    <n v="1"/>
    <n v="5"/>
    <b v="0"/>
    <n v="2"/>
    <n v="2"/>
    <x v="13"/>
    <n v="236"/>
    <n v="0.18179999999999999"/>
    <x v="28"/>
    <x v="7"/>
    <n v="0"/>
    <n v="6"/>
    <n v="6"/>
  </r>
  <r>
    <n v="238"/>
    <d v="2011-01-11T00:00:00"/>
    <n v="1"/>
    <n v="6"/>
    <b v="0"/>
    <n v="2"/>
    <n v="2"/>
    <x v="13"/>
    <n v="237"/>
    <n v="0.18179999999999999"/>
    <x v="28"/>
    <x v="7"/>
    <n v="0"/>
    <n v="27"/>
    <n v="27"/>
  </r>
  <r>
    <n v="239"/>
    <d v="2011-01-11T00:00:00"/>
    <n v="1"/>
    <n v="7"/>
    <b v="0"/>
    <n v="2"/>
    <n v="2"/>
    <x v="13"/>
    <n v="238"/>
    <n v="0.2273"/>
    <x v="28"/>
    <x v="0"/>
    <n v="2"/>
    <n v="97"/>
    <n v="99"/>
  </r>
  <r>
    <n v="240"/>
    <d v="2011-01-11T00:00:00"/>
    <n v="1"/>
    <n v="8"/>
    <b v="0"/>
    <n v="2"/>
    <n v="2"/>
    <x v="15"/>
    <n v="239"/>
    <n v="0.21210000000000001"/>
    <x v="33"/>
    <x v="1"/>
    <n v="3"/>
    <n v="214"/>
    <n v="217"/>
  </r>
  <r>
    <n v="241"/>
    <d v="2011-01-11T00:00:00"/>
    <n v="1"/>
    <n v="9"/>
    <b v="0"/>
    <n v="2"/>
    <n v="2"/>
    <x v="15"/>
    <n v="240"/>
    <n v="0.19700000000000001"/>
    <x v="33"/>
    <x v="8"/>
    <n v="3"/>
    <n v="127"/>
    <n v="130"/>
  </r>
  <r>
    <n v="242"/>
    <d v="2011-01-11T00:00:00"/>
    <n v="1"/>
    <n v="10"/>
    <b v="0"/>
    <n v="2"/>
    <n v="2"/>
    <x v="2"/>
    <n v="241"/>
    <n v="0.21210000000000001"/>
    <x v="33"/>
    <x v="8"/>
    <n v="3"/>
    <n v="51"/>
    <n v="54"/>
  </r>
  <r>
    <n v="243"/>
    <d v="2011-01-11T00:00:00"/>
    <n v="1"/>
    <n v="11"/>
    <b v="0"/>
    <n v="2"/>
    <n v="2"/>
    <x v="2"/>
    <n v="242"/>
    <n v="0.21210000000000001"/>
    <x v="19"/>
    <x v="7"/>
    <n v="4"/>
    <n v="31"/>
    <n v="35"/>
  </r>
  <r>
    <n v="244"/>
    <d v="2011-01-11T00:00:00"/>
    <n v="1"/>
    <n v="12"/>
    <b v="0"/>
    <n v="2"/>
    <n v="2"/>
    <x v="2"/>
    <n v="243"/>
    <n v="0.2273"/>
    <x v="33"/>
    <x v="14"/>
    <n v="2"/>
    <n v="55"/>
    <n v="57"/>
  </r>
  <r>
    <n v="245"/>
    <d v="2011-01-11T00:00:00"/>
    <n v="1"/>
    <n v="13"/>
    <b v="0"/>
    <n v="2"/>
    <n v="2"/>
    <x v="2"/>
    <n v="244"/>
    <n v="0.2273"/>
    <x v="29"/>
    <x v="1"/>
    <n v="6"/>
    <n v="46"/>
    <n v="52"/>
  </r>
  <r>
    <n v="246"/>
    <d v="2011-01-11T00:00:00"/>
    <n v="1"/>
    <n v="14"/>
    <b v="0"/>
    <n v="2"/>
    <n v="2"/>
    <x v="2"/>
    <n v="245"/>
    <n v="0.2273"/>
    <x v="29"/>
    <x v="1"/>
    <n v="3"/>
    <n v="60"/>
    <n v="63"/>
  </r>
  <r>
    <n v="247"/>
    <d v="2011-01-11T00:00:00"/>
    <n v="1"/>
    <n v="15"/>
    <b v="0"/>
    <n v="2"/>
    <n v="2"/>
    <x v="13"/>
    <n v="246"/>
    <n v="0.19700000000000001"/>
    <x v="1"/>
    <x v="1"/>
    <n v="2"/>
    <n v="45"/>
    <n v="47"/>
  </r>
  <r>
    <n v="248"/>
    <d v="2011-01-11T00:00:00"/>
    <n v="1"/>
    <n v="16"/>
    <b v="0"/>
    <n v="2"/>
    <n v="2"/>
    <x v="13"/>
    <n v="247"/>
    <n v="0.1515"/>
    <x v="3"/>
    <x v="6"/>
    <n v="4"/>
    <n v="72"/>
    <n v="76"/>
  </r>
  <r>
    <n v="249"/>
    <d v="2011-01-11T00:00:00"/>
    <n v="1"/>
    <n v="17"/>
    <b v="0"/>
    <n v="2"/>
    <n v="2"/>
    <x v="13"/>
    <n v="248"/>
    <n v="0.1515"/>
    <x v="3"/>
    <x v="6"/>
    <n v="6"/>
    <n v="130"/>
    <n v="136"/>
  </r>
  <r>
    <n v="250"/>
    <d v="2011-01-11T00:00:00"/>
    <n v="1"/>
    <n v="18"/>
    <b v="0"/>
    <n v="2"/>
    <n v="3"/>
    <x v="13"/>
    <n v="249"/>
    <n v="0.18179999999999999"/>
    <x v="43"/>
    <x v="14"/>
    <n v="1"/>
    <n v="94"/>
    <n v="95"/>
  </r>
  <r>
    <n v="251"/>
    <d v="2011-01-11T00:00:00"/>
    <n v="1"/>
    <n v="19"/>
    <b v="0"/>
    <n v="2"/>
    <n v="3"/>
    <x v="13"/>
    <n v="250"/>
    <n v="0.2273"/>
    <x v="43"/>
    <x v="0"/>
    <n v="0"/>
    <n v="51"/>
    <n v="51"/>
  </r>
  <r>
    <n v="252"/>
    <d v="2011-01-11T00:00:00"/>
    <n v="1"/>
    <n v="20"/>
    <b v="0"/>
    <n v="2"/>
    <n v="3"/>
    <x v="13"/>
    <n v="251"/>
    <n v="0.1515"/>
    <x v="43"/>
    <x v="5"/>
    <n v="0"/>
    <n v="32"/>
    <n v="32"/>
  </r>
  <r>
    <n v="253"/>
    <d v="2011-01-11T00:00:00"/>
    <n v="1"/>
    <n v="21"/>
    <b v="0"/>
    <n v="2"/>
    <n v="3"/>
    <x v="13"/>
    <n v="252"/>
    <n v="0.19700000000000001"/>
    <x v="3"/>
    <x v="1"/>
    <n v="0"/>
    <n v="20"/>
    <n v="20"/>
  </r>
  <r>
    <n v="254"/>
    <d v="2011-01-11T00:00:00"/>
    <n v="1"/>
    <n v="22"/>
    <b v="0"/>
    <n v="2"/>
    <n v="3"/>
    <x v="13"/>
    <n v="253"/>
    <n v="0.18179999999999999"/>
    <x v="43"/>
    <x v="14"/>
    <n v="1"/>
    <n v="28"/>
    <n v="29"/>
  </r>
  <r>
    <n v="255"/>
    <d v="2011-01-11T00:00:00"/>
    <n v="1"/>
    <n v="23"/>
    <b v="0"/>
    <n v="2"/>
    <n v="3"/>
    <x v="13"/>
    <n v="254"/>
    <n v="0.19700000000000001"/>
    <x v="43"/>
    <x v="1"/>
    <n v="1"/>
    <n v="18"/>
    <n v="19"/>
  </r>
  <r>
    <n v="256"/>
    <d v="2011-01-12T00:00:00"/>
    <n v="1"/>
    <n v="0"/>
    <b v="0"/>
    <n v="3"/>
    <n v="2"/>
    <x v="13"/>
    <n v="255"/>
    <n v="0.19700000000000001"/>
    <x v="3"/>
    <x v="1"/>
    <n v="0"/>
    <n v="7"/>
    <n v="7"/>
  </r>
  <r>
    <n v="257"/>
    <d v="2011-01-12T00:00:00"/>
    <n v="1"/>
    <n v="1"/>
    <b v="0"/>
    <n v="3"/>
    <n v="2"/>
    <x v="13"/>
    <n v="256"/>
    <n v="0.18179999999999999"/>
    <x v="3"/>
    <x v="14"/>
    <n v="0"/>
    <n v="6"/>
    <n v="6"/>
  </r>
  <r>
    <n v="258"/>
    <d v="2011-01-12T00:00:00"/>
    <n v="1"/>
    <n v="2"/>
    <b v="0"/>
    <n v="3"/>
    <n v="1"/>
    <x v="14"/>
    <n v="257"/>
    <n v="0.1515"/>
    <x v="3"/>
    <x v="7"/>
    <n v="0"/>
    <n v="1"/>
    <n v="1"/>
  </r>
  <r>
    <n v="259"/>
    <d v="2011-01-12T00:00:00"/>
    <n v="1"/>
    <n v="5"/>
    <b v="0"/>
    <n v="3"/>
    <n v="1"/>
    <x v="14"/>
    <n v="258"/>
    <n v="0.1515"/>
    <x v="3"/>
    <x v="8"/>
    <n v="0"/>
    <n v="5"/>
    <n v="5"/>
  </r>
  <r>
    <n v="260"/>
    <d v="2011-01-12T00:00:00"/>
    <n v="1"/>
    <n v="6"/>
    <b v="0"/>
    <n v="3"/>
    <n v="1"/>
    <x v="16"/>
    <n v="259"/>
    <n v="0.1515"/>
    <x v="43"/>
    <x v="7"/>
    <n v="0"/>
    <n v="16"/>
    <n v="16"/>
  </r>
  <r>
    <n v="261"/>
    <d v="2011-01-12T00:00:00"/>
    <n v="1"/>
    <n v="7"/>
    <b v="0"/>
    <n v="3"/>
    <n v="1"/>
    <x v="14"/>
    <n v="260"/>
    <n v="0.1515"/>
    <x v="27"/>
    <x v="7"/>
    <n v="0"/>
    <n v="54"/>
    <n v="54"/>
  </r>
  <r>
    <n v="262"/>
    <d v="2011-01-12T00:00:00"/>
    <n v="1"/>
    <n v="8"/>
    <b v="0"/>
    <n v="3"/>
    <n v="1"/>
    <x v="13"/>
    <n v="261"/>
    <n v="0.16669999999999999"/>
    <x v="29"/>
    <x v="8"/>
    <n v="3"/>
    <n v="125"/>
    <n v="128"/>
  </r>
  <r>
    <n v="263"/>
    <d v="2011-01-12T00:00:00"/>
    <n v="1"/>
    <n v="9"/>
    <b v="0"/>
    <n v="3"/>
    <n v="1"/>
    <x v="13"/>
    <n v="262"/>
    <n v="0.13639999999999999"/>
    <x v="29"/>
    <x v="9"/>
    <n v="3"/>
    <n v="78"/>
    <n v="81"/>
  </r>
  <r>
    <n v="264"/>
    <d v="2011-01-12T00:00:00"/>
    <n v="1"/>
    <n v="10"/>
    <b v="0"/>
    <n v="3"/>
    <n v="1"/>
    <x v="15"/>
    <n v="263"/>
    <n v="0.18179999999999999"/>
    <x v="28"/>
    <x v="6"/>
    <n v="0"/>
    <n v="39"/>
    <n v="39"/>
  </r>
  <r>
    <n v="265"/>
    <d v="2011-01-12T00:00:00"/>
    <n v="1"/>
    <n v="11"/>
    <b v="0"/>
    <n v="3"/>
    <n v="1"/>
    <x v="2"/>
    <n v="264"/>
    <n v="0.18179999999999999"/>
    <x v="33"/>
    <x v="13"/>
    <n v="3"/>
    <n v="32"/>
    <n v="35"/>
  </r>
  <r>
    <n v="266"/>
    <d v="2011-01-12T00:00:00"/>
    <n v="1"/>
    <n v="12"/>
    <b v="0"/>
    <n v="3"/>
    <n v="1"/>
    <x v="2"/>
    <n v="265"/>
    <n v="0.1515"/>
    <x v="19"/>
    <x v="19"/>
    <n v="3"/>
    <n v="52"/>
    <n v="55"/>
  </r>
  <r>
    <n v="267"/>
    <d v="2011-01-12T00:00:00"/>
    <n v="1"/>
    <n v="13"/>
    <b v="0"/>
    <n v="3"/>
    <n v="1"/>
    <x v="1"/>
    <n v="266"/>
    <n v="0.19700000000000001"/>
    <x v="18"/>
    <x v="11"/>
    <n v="0"/>
    <n v="49"/>
    <n v="49"/>
  </r>
  <r>
    <n v="268"/>
    <d v="2011-01-12T00:00:00"/>
    <n v="1"/>
    <n v="14"/>
    <b v="0"/>
    <n v="3"/>
    <n v="1"/>
    <x v="2"/>
    <n v="267"/>
    <n v="0.18179999999999999"/>
    <x v="19"/>
    <x v="9"/>
    <n v="0"/>
    <n v="44"/>
    <n v="44"/>
  </r>
  <r>
    <n v="269"/>
    <d v="2011-01-12T00:00:00"/>
    <n v="1"/>
    <n v="15"/>
    <b v="0"/>
    <n v="3"/>
    <n v="1"/>
    <x v="2"/>
    <n v="268"/>
    <n v="0.16669999999999999"/>
    <x v="19"/>
    <x v="12"/>
    <n v="1"/>
    <n v="48"/>
    <n v="49"/>
  </r>
  <r>
    <n v="270"/>
    <d v="2011-01-12T00:00:00"/>
    <n v="1"/>
    <n v="16"/>
    <b v="0"/>
    <n v="3"/>
    <n v="1"/>
    <x v="1"/>
    <n v="269"/>
    <n v="0.19700000000000001"/>
    <x v="18"/>
    <x v="9"/>
    <n v="5"/>
    <n v="63"/>
    <n v="68"/>
  </r>
  <r>
    <n v="271"/>
    <d v="2011-01-12T00:00:00"/>
    <n v="1"/>
    <n v="17"/>
    <b v="0"/>
    <n v="3"/>
    <n v="1"/>
    <x v="2"/>
    <n v="270"/>
    <n v="0.18179999999999999"/>
    <x v="19"/>
    <x v="11"/>
    <n v="0"/>
    <n v="139"/>
    <n v="139"/>
  </r>
  <r>
    <n v="272"/>
    <d v="2011-01-12T00:00:00"/>
    <n v="1"/>
    <n v="18"/>
    <b v="0"/>
    <n v="3"/>
    <n v="1"/>
    <x v="2"/>
    <n v="271"/>
    <n v="0.1515"/>
    <x v="19"/>
    <x v="18"/>
    <n v="2"/>
    <n v="135"/>
    <n v="137"/>
  </r>
  <r>
    <n v="273"/>
    <d v="2011-01-12T00:00:00"/>
    <n v="1"/>
    <n v="19"/>
    <b v="0"/>
    <n v="3"/>
    <n v="1"/>
    <x v="15"/>
    <n v="272"/>
    <n v="0.1515"/>
    <x v="19"/>
    <x v="12"/>
    <n v="1"/>
    <n v="82"/>
    <n v="83"/>
  </r>
  <r>
    <n v="274"/>
    <d v="2011-01-12T00:00:00"/>
    <n v="1"/>
    <n v="20"/>
    <b v="0"/>
    <n v="3"/>
    <n v="1"/>
    <x v="13"/>
    <n v="273"/>
    <n v="0.13639999999999999"/>
    <x v="20"/>
    <x v="9"/>
    <n v="2"/>
    <n v="54"/>
    <n v="56"/>
  </r>
  <r>
    <n v="275"/>
    <d v="2011-01-12T00:00:00"/>
    <n v="1"/>
    <n v="21"/>
    <b v="0"/>
    <n v="3"/>
    <n v="1"/>
    <x v="13"/>
    <n v="274"/>
    <n v="0.13639999999999999"/>
    <x v="28"/>
    <x v="9"/>
    <n v="0"/>
    <n v="57"/>
    <n v="57"/>
  </r>
  <r>
    <n v="276"/>
    <d v="2011-01-12T00:00:00"/>
    <n v="1"/>
    <n v="22"/>
    <b v="0"/>
    <n v="3"/>
    <n v="1"/>
    <x v="13"/>
    <n v="275"/>
    <n v="0.1212"/>
    <x v="28"/>
    <x v="10"/>
    <n v="1"/>
    <n v="32"/>
    <n v="33"/>
  </r>
  <r>
    <n v="277"/>
    <d v="2011-01-12T00:00:00"/>
    <n v="1"/>
    <n v="23"/>
    <b v="0"/>
    <n v="3"/>
    <n v="1"/>
    <x v="14"/>
    <n v="276"/>
    <n v="0.1061"/>
    <x v="29"/>
    <x v="12"/>
    <n v="1"/>
    <n v="19"/>
    <n v="20"/>
  </r>
  <r>
    <n v="278"/>
    <d v="2011-01-13T00:00:00"/>
    <n v="1"/>
    <n v="0"/>
    <b v="0"/>
    <n v="4"/>
    <n v="1"/>
    <x v="14"/>
    <n v="277"/>
    <n v="0.1212"/>
    <x v="29"/>
    <x v="3"/>
    <n v="1"/>
    <n v="6"/>
    <n v="7"/>
  </r>
  <r>
    <n v="279"/>
    <d v="2011-01-13T00:00:00"/>
    <n v="1"/>
    <n v="1"/>
    <b v="0"/>
    <n v="4"/>
    <n v="1"/>
    <x v="14"/>
    <n v="278"/>
    <n v="0.1212"/>
    <x v="20"/>
    <x v="3"/>
    <n v="0"/>
    <n v="2"/>
    <n v="2"/>
  </r>
  <r>
    <n v="280"/>
    <d v="2011-01-13T00:00:00"/>
    <n v="1"/>
    <n v="2"/>
    <b v="0"/>
    <n v="4"/>
    <n v="1"/>
    <x v="14"/>
    <n v="279"/>
    <n v="0.1212"/>
    <x v="20"/>
    <x v="11"/>
    <n v="0"/>
    <n v="2"/>
    <n v="2"/>
  </r>
  <r>
    <n v="281"/>
    <d v="2011-01-13T00:00:00"/>
    <n v="1"/>
    <n v="3"/>
    <b v="0"/>
    <n v="4"/>
    <n v="1"/>
    <x v="14"/>
    <n v="280"/>
    <n v="0.1212"/>
    <x v="20"/>
    <x v="9"/>
    <n v="0"/>
    <n v="3"/>
    <n v="3"/>
  </r>
  <r>
    <n v="282"/>
    <d v="2011-01-13T00:00:00"/>
    <n v="1"/>
    <n v="4"/>
    <b v="0"/>
    <n v="4"/>
    <n v="1"/>
    <x v="14"/>
    <n v="281"/>
    <n v="0.1212"/>
    <x v="20"/>
    <x v="2"/>
    <n v="0"/>
    <n v="4"/>
    <n v="4"/>
  </r>
  <r>
    <n v="283"/>
    <d v="2011-01-13T00:00:00"/>
    <n v="1"/>
    <n v="5"/>
    <b v="0"/>
    <n v="4"/>
    <n v="1"/>
    <x v="14"/>
    <n v="282"/>
    <n v="0.1212"/>
    <x v="20"/>
    <x v="4"/>
    <n v="0"/>
    <n v="3"/>
    <n v="3"/>
  </r>
  <r>
    <n v="284"/>
    <d v="2011-01-13T00:00:00"/>
    <n v="1"/>
    <n v="6"/>
    <b v="0"/>
    <n v="4"/>
    <n v="1"/>
    <x v="16"/>
    <n v="283"/>
    <n v="0.1515"/>
    <x v="47"/>
    <x v="7"/>
    <n v="0"/>
    <n v="28"/>
    <n v="28"/>
  </r>
  <r>
    <n v="285"/>
    <d v="2011-01-13T00:00:00"/>
    <n v="1"/>
    <n v="7"/>
    <b v="0"/>
    <n v="4"/>
    <n v="1"/>
    <x v="16"/>
    <n v="284"/>
    <n v="0.1515"/>
    <x v="47"/>
    <x v="7"/>
    <n v="0"/>
    <n v="72"/>
    <n v="72"/>
  </r>
  <r>
    <n v="286"/>
    <d v="2011-01-13T00:00:00"/>
    <n v="1"/>
    <n v="8"/>
    <b v="0"/>
    <n v="4"/>
    <n v="1"/>
    <x v="14"/>
    <n v="285"/>
    <n v="0.13639999999999999"/>
    <x v="20"/>
    <x v="5"/>
    <n v="5"/>
    <n v="197"/>
    <n v="202"/>
  </r>
  <r>
    <n v="287"/>
    <d v="2011-01-13T00:00:00"/>
    <n v="1"/>
    <n v="9"/>
    <b v="0"/>
    <n v="4"/>
    <n v="1"/>
    <x v="14"/>
    <n v="286"/>
    <n v="0.1212"/>
    <x v="20"/>
    <x v="9"/>
    <n v="2"/>
    <n v="137"/>
    <n v="139"/>
  </r>
  <r>
    <n v="288"/>
    <d v="2011-01-13T00:00:00"/>
    <n v="1"/>
    <n v="10"/>
    <b v="0"/>
    <n v="4"/>
    <n v="2"/>
    <x v="13"/>
    <n v="287"/>
    <n v="0.13639999999999999"/>
    <x v="20"/>
    <x v="11"/>
    <n v="2"/>
    <n v="36"/>
    <n v="38"/>
  </r>
  <r>
    <n v="289"/>
    <d v="2011-01-13T00:00:00"/>
    <n v="1"/>
    <n v="11"/>
    <b v="0"/>
    <n v="4"/>
    <n v="2"/>
    <x v="2"/>
    <n v="288"/>
    <n v="0.16669999999999999"/>
    <x v="18"/>
    <x v="10"/>
    <n v="4"/>
    <n v="33"/>
    <n v="37"/>
  </r>
  <r>
    <n v="290"/>
    <d v="2011-01-13T00:00:00"/>
    <n v="1"/>
    <n v="12"/>
    <b v="0"/>
    <n v="4"/>
    <n v="1"/>
    <x v="2"/>
    <n v="289"/>
    <n v="0.16669999999999999"/>
    <x v="18"/>
    <x v="12"/>
    <n v="3"/>
    <n v="49"/>
    <n v="52"/>
  </r>
  <r>
    <n v="291"/>
    <d v="2011-01-13T00:00:00"/>
    <n v="1"/>
    <n v="13"/>
    <b v="0"/>
    <n v="4"/>
    <n v="1"/>
    <x v="1"/>
    <n v="290"/>
    <n v="0.19700000000000001"/>
    <x v="48"/>
    <x v="10"/>
    <n v="2"/>
    <n v="81"/>
    <n v="83"/>
  </r>
  <r>
    <n v="292"/>
    <d v="2011-01-13T00:00:00"/>
    <n v="1"/>
    <n v="14"/>
    <b v="0"/>
    <n v="4"/>
    <n v="1"/>
    <x v="1"/>
    <n v="291"/>
    <n v="0.19700000000000001"/>
    <x v="48"/>
    <x v="13"/>
    <n v="3"/>
    <n v="39"/>
    <n v="42"/>
  </r>
  <r>
    <n v="293"/>
    <d v="2011-01-13T00:00:00"/>
    <n v="1"/>
    <n v="15"/>
    <b v="0"/>
    <n v="4"/>
    <n v="1"/>
    <x v="0"/>
    <n v="292"/>
    <n v="0.21210000000000001"/>
    <x v="41"/>
    <x v="4"/>
    <n v="5"/>
    <n v="55"/>
    <n v="60"/>
  </r>
  <r>
    <n v="294"/>
    <d v="2011-01-13T00:00:00"/>
    <n v="1"/>
    <n v="16"/>
    <b v="0"/>
    <n v="4"/>
    <n v="1"/>
    <x v="0"/>
    <n v="293"/>
    <n v="0.21210000000000001"/>
    <x v="41"/>
    <x v="11"/>
    <n v="2"/>
    <n v="76"/>
    <n v="78"/>
  </r>
  <r>
    <n v="295"/>
    <d v="2011-01-13T00:00:00"/>
    <n v="1"/>
    <n v="17"/>
    <b v="0"/>
    <n v="4"/>
    <n v="1"/>
    <x v="2"/>
    <n v="294"/>
    <n v="0.18179999999999999"/>
    <x v="22"/>
    <x v="3"/>
    <n v="4"/>
    <n v="158"/>
    <n v="162"/>
  </r>
  <r>
    <n v="296"/>
    <d v="2011-01-13T00:00:00"/>
    <n v="1"/>
    <n v="18"/>
    <b v="0"/>
    <n v="4"/>
    <n v="1"/>
    <x v="2"/>
    <n v="295"/>
    <n v="0.18179999999999999"/>
    <x v="22"/>
    <x v="9"/>
    <n v="3"/>
    <n v="141"/>
    <n v="144"/>
  </r>
  <r>
    <n v="297"/>
    <d v="2011-01-13T00:00:00"/>
    <n v="1"/>
    <n v="19"/>
    <b v="0"/>
    <n v="4"/>
    <n v="1"/>
    <x v="13"/>
    <n v="296"/>
    <n v="0.1515"/>
    <x v="19"/>
    <x v="2"/>
    <n v="1"/>
    <n v="98"/>
    <n v="99"/>
  </r>
  <r>
    <n v="298"/>
    <d v="2011-01-13T00:00:00"/>
    <n v="1"/>
    <n v="20"/>
    <b v="0"/>
    <n v="4"/>
    <n v="1"/>
    <x v="13"/>
    <n v="297"/>
    <n v="0.1515"/>
    <x v="19"/>
    <x v="6"/>
    <n v="0"/>
    <n v="64"/>
    <n v="64"/>
  </r>
  <r>
    <n v="299"/>
    <d v="2011-01-13T00:00:00"/>
    <n v="1"/>
    <n v="21"/>
    <b v="0"/>
    <n v="4"/>
    <n v="1"/>
    <x v="14"/>
    <n v="298"/>
    <n v="0.1212"/>
    <x v="15"/>
    <x v="4"/>
    <n v="0"/>
    <n v="40"/>
    <n v="40"/>
  </r>
  <r>
    <n v="300"/>
    <d v="2011-01-13T00:00:00"/>
    <n v="1"/>
    <n v="22"/>
    <b v="0"/>
    <n v="4"/>
    <n v="1"/>
    <x v="14"/>
    <n v="299"/>
    <n v="0.1212"/>
    <x v="15"/>
    <x v="9"/>
    <n v="0"/>
    <n v="30"/>
    <n v="30"/>
  </r>
  <r>
    <n v="301"/>
    <d v="2011-01-13T00:00:00"/>
    <n v="1"/>
    <n v="23"/>
    <b v="0"/>
    <n v="4"/>
    <n v="1"/>
    <x v="16"/>
    <n v="300"/>
    <n v="0.13639999999999999"/>
    <x v="20"/>
    <x v="5"/>
    <n v="1"/>
    <n v="14"/>
    <n v="15"/>
  </r>
  <r>
    <n v="302"/>
    <d v="2011-01-14T00:00:00"/>
    <n v="1"/>
    <n v="0"/>
    <b v="0"/>
    <n v="5"/>
    <n v="1"/>
    <x v="16"/>
    <n v="301"/>
    <n v="0.13639999999999999"/>
    <x v="20"/>
    <x v="5"/>
    <n v="0"/>
    <n v="14"/>
    <n v="14"/>
  </r>
  <r>
    <n v="303"/>
    <d v="2011-01-14T00:00:00"/>
    <n v="1"/>
    <n v="1"/>
    <b v="0"/>
    <n v="5"/>
    <n v="1"/>
    <x v="18"/>
    <n v="302"/>
    <n v="0.1212"/>
    <x v="47"/>
    <x v="8"/>
    <n v="0"/>
    <n v="5"/>
    <n v="5"/>
  </r>
  <r>
    <n v="304"/>
    <d v="2011-01-14T00:00:00"/>
    <n v="1"/>
    <n v="2"/>
    <b v="0"/>
    <n v="5"/>
    <n v="1"/>
    <x v="18"/>
    <n v="303"/>
    <n v="0.1212"/>
    <x v="47"/>
    <x v="7"/>
    <n v="0"/>
    <n v="1"/>
    <n v="1"/>
  </r>
  <r>
    <n v="305"/>
    <d v="2011-01-14T00:00:00"/>
    <n v="1"/>
    <n v="3"/>
    <b v="0"/>
    <n v="5"/>
    <n v="1"/>
    <x v="18"/>
    <n v="304"/>
    <n v="0.13639999999999999"/>
    <x v="47"/>
    <x v="14"/>
    <n v="0"/>
    <n v="1"/>
    <n v="1"/>
  </r>
  <r>
    <n v="306"/>
    <d v="2011-01-14T00:00:00"/>
    <n v="1"/>
    <n v="5"/>
    <b v="0"/>
    <n v="5"/>
    <n v="1"/>
    <x v="18"/>
    <n v="305"/>
    <n v="0.13639999999999999"/>
    <x v="47"/>
    <x v="1"/>
    <n v="0"/>
    <n v="8"/>
    <n v="8"/>
  </r>
  <r>
    <n v="307"/>
    <d v="2011-01-14T00:00:00"/>
    <n v="1"/>
    <n v="6"/>
    <b v="0"/>
    <n v="5"/>
    <n v="1"/>
    <x v="18"/>
    <n v="306"/>
    <n v="0.18179999999999999"/>
    <x v="47"/>
    <x v="0"/>
    <n v="0"/>
    <n v="17"/>
    <n v="17"/>
  </r>
  <r>
    <n v="308"/>
    <d v="2011-01-14T00:00:00"/>
    <n v="1"/>
    <n v="7"/>
    <b v="0"/>
    <n v="5"/>
    <n v="1"/>
    <x v="18"/>
    <n v="307"/>
    <n v="0.1212"/>
    <x v="32"/>
    <x v="8"/>
    <n v="0"/>
    <n v="70"/>
    <n v="70"/>
  </r>
  <r>
    <n v="309"/>
    <d v="2011-01-14T00:00:00"/>
    <n v="1"/>
    <n v="8"/>
    <b v="0"/>
    <n v="5"/>
    <n v="1"/>
    <x v="16"/>
    <n v="308"/>
    <n v="0.16669999999999999"/>
    <x v="31"/>
    <x v="0"/>
    <n v="2"/>
    <n v="156"/>
    <n v="158"/>
  </r>
  <r>
    <n v="310"/>
    <d v="2011-01-14T00:00:00"/>
    <n v="1"/>
    <n v="9"/>
    <b v="0"/>
    <n v="5"/>
    <n v="1"/>
    <x v="14"/>
    <n v="309"/>
    <n v="0.1515"/>
    <x v="27"/>
    <x v="7"/>
    <n v="0"/>
    <n v="117"/>
    <n v="117"/>
  </r>
  <r>
    <n v="311"/>
    <d v="2011-01-14T00:00:00"/>
    <n v="1"/>
    <n v="10"/>
    <b v="0"/>
    <n v="5"/>
    <n v="1"/>
    <x v="15"/>
    <n v="310"/>
    <n v="0.18179999999999999"/>
    <x v="28"/>
    <x v="5"/>
    <n v="4"/>
    <n v="40"/>
    <n v="44"/>
  </r>
  <r>
    <n v="312"/>
    <d v="2011-01-14T00:00:00"/>
    <n v="1"/>
    <n v="11"/>
    <b v="0"/>
    <n v="5"/>
    <n v="1"/>
    <x v="15"/>
    <n v="311"/>
    <n v="0.16669999999999999"/>
    <x v="33"/>
    <x v="3"/>
    <n v="6"/>
    <n v="47"/>
    <n v="53"/>
  </r>
  <r>
    <n v="313"/>
    <d v="2011-01-14T00:00:00"/>
    <n v="1"/>
    <n v="12"/>
    <b v="0"/>
    <n v="5"/>
    <n v="1"/>
    <x v="2"/>
    <n v="312"/>
    <n v="0.19700000000000001"/>
    <x v="18"/>
    <x v="2"/>
    <n v="2"/>
    <n v="59"/>
    <n v="61"/>
  </r>
  <r>
    <n v="314"/>
    <d v="2011-01-14T00:00:00"/>
    <n v="1"/>
    <n v="13"/>
    <b v="0"/>
    <n v="5"/>
    <n v="1"/>
    <x v="1"/>
    <n v="313"/>
    <n v="0.19700000000000001"/>
    <x v="38"/>
    <x v="13"/>
    <n v="4"/>
    <n v="73"/>
    <n v="77"/>
  </r>
  <r>
    <n v="315"/>
    <d v="2011-01-14T00:00:00"/>
    <n v="1"/>
    <n v="14"/>
    <b v="0"/>
    <n v="5"/>
    <n v="1"/>
    <x v="1"/>
    <n v="314"/>
    <n v="0.21210000000000001"/>
    <x v="48"/>
    <x v="3"/>
    <n v="5"/>
    <n v="59"/>
    <n v="64"/>
  </r>
  <r>
    <n v="316"/>
    <d v="2011-01-14T00:00:00"/>
    <n v="1"/>
    <n v="15"/>
    <b v="0"/>
    <n v="5"/>
    <n v="1"/>
    <x v="0"/>
    <n v="315"/>
    <n v="0.2424"/>
    <x v="41"/>
    <x v="8"/>
    <n v="9"/>
    <n v="59"/>
    <n v="68"/>
  </r>
  <r>
    <n v="317"/>
    <d v="2011-01-14T00:00:00"/>
    <n v="1"/>
    <n v="16"/>
    <b v="0"/>
    <n v="5"/>
    <n v="1"/>
    <x v="1"/>
    <n v="316"/>
    <n v="0.2424"/>
    <x v="48"/>
    <x v="14"/>
    <n v="3"/>
    <n v="87"/>
    <n v="90"/>
  </r>
  <r>
    <n v="318"/>
    <d v="2011-01-14T00:00:00"/>
    <n v="1"/>
    <n v="17"/>
    <b v="0"/>
    <n v="5"/>
    <n v="1"/>
    <x v="1"/>
    <n v="317"/>
    <n v="0.2273"/>
    <x v="48"/>
    <x v="8"/>
    <n v="4"/>
    <n v="155"/>
    <n v="159"/>
  </r>
  <r>
    <n v="319"/>
    <d v="2011-01-14T00:00:00"/>
    <n v="1"/>
    <n v="18"/>
    <b v="0"/>
    <n v="5"/>
    <n v="1"/>
    <x v="2"/>
    <n v="318"/>
    <n v="0.2576"/>
    <x v="19"/>
    <x v="0"/>
    <n v="5"/>
    <n v="134"/>
    <n v="139"/>
  </r>
  <r>
    <n v="320"/>
    <d v="2011-01-14T00:00:00"/>
    <n v="1"/>
    <n v="19"/>
    <b v="0"/>
    <n v="5"/>
    <n v="1"/>
    <x v="13"/>
    <n v="319"/>
    <n v="0.19700000000000001"/>
    <x v="29"/>
    <x v="1"/>
    <n v="3"/>
    <n v="89"/>
    <n v="92"/>
  </r>
  <r>
    <n v="321"/>
    <d v="2011-01-14T00:00:00"/>
    <n v="1"/>
    <n v="20"/>
    <b v="0"/>
    <n v="5"/>
    <n v="1"/>
    <x v="15"/>
    <n v="320"/>
    <n v="0.2424"/>
    <x v="29"/>
    <x v="0"/>
    <n v="0"/>
    <n v="68"/>
    <n v="68"/>
  </r>
  <r>
    <n v="322"/>
    <d v="2011-01-14T00:00:00"/>
    <n v="1"/>
    <n v="21"/>
    <b v="0"/>
    <n v="5"/>
    <n v="1"/>
    <x v="13"/>
    <n v="321"/>
    <n v="0.2273"/>
    <x v="27"/>
    <x v="0"/>
    <n v="4"/>
    <n v="48"/>
    <n v="52"/>
  </r>
  <r>
    <n v="323"/>
    <d v="2011-01-14T00:00:00"/>
    <n v="1"/>
    <n v="22"/>
    <b v="0"/>
    <n v="5"/>
    <n v="2"/>
    <x v="13"/>
    <n v="322"/>
    <n v="0.2273"/>
    <x v="27"/>
    <x v="0"/>
    <n v="2"/>
    <n v="34"/>
    <n v="36"/>
  </r>
  <r>
    <n v="324"/>
    <d v="2011-01-14T00:00:00"/>
    <n v="1"/>
    <n v="23"/>
    <b v="0"/>
    <n v="5"/>
    <n v="2"/>
    <x v="15"/>
    <n v="323"/>
    <n v="0.2424"/>
    <x v="28"/>
    <x v="0"/>
    <n v="1"/>
    <n v="26"/>
    <n v="27"/>
  </r>
  <r>
    <n v="325"/>
    <d v="2011-01-15T00:00:00"/>
    <n v="1"/>
    <n v="0"/>
    <b v="0"/>
    <n v="6"/>
    <n v="1"/>
    <x v="15"/>
    <n v="324"/>
    <n v="0.2424"/>
    <x v="28"/>
    <x v="0"/>
    <n v="3"/>
    <n v="25"/>
    <n v="28"/>
  </r>
  <r>
    <n v="326"/>
    <d v="2011-01-15T00:00:00"/>
    <n v="1"/>
    <n v="1"/>
    <b v="0"/>
    <n v="6"/>
    <n v="2"/>
    <x v="13"/>
    <n v="325"/>
    <n v="0.19700000000000001"/>
    <x v="29"/>
    <x v="1"/>
    <n v="2"/>
    <n v="18"/>
    <n v="20"/>
  </r>
  <r>
    <n v="327"/>
    <d v="2011-01-15T00:00:00"/>
    <n v="1"/>
    <n v="2"/>
    <b v="0"/>
    <n v="6"/>
    <n v="2"/>
    <x v="13"/>
    <n v="326"/>
    <n v="0.19700000000000001"/>
    <x v="29"/>
    <x v="1"/>
    <n v="0"/>
    <n v="12"/>
    <n v="12"/>
  </r>
  <r>
    <n v="328"/>
    <d v="2011-01-15T00:00:00"/>
    <n v="1"/>
    <n v="3"/>
    <b v="0"/>
    <n v="6"/>
    <n v="2"/>
    <x v="13"/>
    <n v="327"/>
    <n v="0.2273"/>
    <x v="29"/>
    <x v="0"/>
    <n v="1"/>
    <n v="7"/>
    <n v="8"/>
  </r>
  <r>
    <n v="329"/>
    <d v="2011-01-15T00:00:00"/>
    <n v="1"/>
    <n v="4"/>
    <b v="0"/>
    <n v="6"/>
    <n v="2"/>
    <x v="13"/>
    <n v="328"/>
    <n v="0.2273"/>
    <x v="29"/>
    <x v="0"/>
    <n v="0"/>
    <n v="5"/>
    <n v="5"/>
  </r>
  <r>
    <n v="330"/>
    <d v="2011-01-15T00:00:00"/>
    <n v="1"/>
    <n v="5"/>
    <b v="0"/>
    <n v="6"/>
    <n v="1"/>
    <x v="13"/>
    <n v="329"/>
    <n v="0.2273"/>
    <x v="29"/>
    <x v="0"/>
    <n v="0"/>
    <n v="1"/>
    <n v="1"/>
  </r>
  <r>
    <n v="331"/>
    <d v="2011-01-15T00:00:00"/>
    <n v="1"/>
    <n v="6"/>
    <b v="0"/>
    <n v="6"/>
    <n v="1"/>
    <x v="14"/>
    <n v="330"/>
    <n v="0.16669999999999999"/>
    <x v="30"/>
    <x v="14"/>
    <n v="1"/>
    <n v="2"/>
    <n v="3"/>
  </r>
  <r>
    <n v="332"/>
    <d v="2011-01-15T00:00:00"/>
    <n v="1"/>
    <n v="7"/>
    <b v="0"/>
    <n v="6"/>
    <n v="1"/>
    <x v="14"/>
    <n v="331"/>
    <n v="0.21210000000000001"/>
    <x v="30"/>
    <x v="0"/>
    <n v="1"/>
    <n v="9"/>
    <n v="10"/>
  </r>
  <r>
    <n v="333"/>
    <d v="2011-01-15T00:00:00"/>
    <n v="1"/>
    <n v="8"/>
    <b v="0"/>
    <n v="6"/>
    <n v="1"/>
    <x v="14"/>
    <n v="332"/>
    <n v="0.1515"/>
    <x v="30"/>
    <x v="7"/>
    <n v="1"/>
    <n v="22"/>
    <n v="23"/>
  </r>
  <r>
    <n v="334"/>
    <d v="2011-01-15T00:00:00"/>
    <n v="1"/>
    <n v="9"/>
    <b v="0"/>
    <n v="6"/>
    <n v="1"/>
    <x v="13"/>
    <n v="333"/>
    <n v="0.18179999999999999"/>
    <x v="26"/>
    <x v="7"/>
    <n v="2"/>
    <n v="31"/>
    <n v="33"/>
  </r>
  <r>
    <n v="335"/>
    <d v="2011-01-15T00:00:00"/>
    <n v="1"/>
    <n v="10"/>
    <b v="0"/>
    <n v="6"/>
    <n v="1"/>
    <x v="15"/>
    <n v="334"/>
    <n v="0.19700000000000001"/>
    <x v="29"/>
    <x v="8"/>
    <n v="2"/>
    <n v="57"/>
    <n v="59"/>
  </r>
  <r>
    <n v="336"/>
    <d v="2011-01-15T00:00:00"/>
    <n v="1"/>
    <n v="11"/>
    <b v="0"/>
    <n v="6"/>
    <n v="1"/>
    <x v="2"/>
    <n v="335"/>
    <n v="0.19700000000000001"/>
    <x v="28"/>
    <x v="6"/>
    <n v="18"/>
    <n v="54"/>
    <n v="72"/>
  </r>
  <r>
    <n v="337"/>
    <d v="2011-01-15T00:00:00"/>
    <n v="1"/>
    <n v="12"/>
    <b v="0"/>
    <n v="6"/>
    <n v="1"/>
    <x v="0"/>
    <n v="336"/>
    <n v="0.2273"/>
    <x v="37"/>
    <x v="6"/>
    <n v="15"/>
    <n v="74"/>
    <n v="89"/>
  </r>
  <r>
    <n v="338"/>
    <d v="2011-01-15T00:00:00"/>
    <n v="1"/>
    <n v="13"/>
    <b v="0"/>
    <n v="6"/>
    <n v="1"/>
    <x v="17"/>
    <n v="337"/>
    <n v="0.2576"/>
    <x v="41"/>
    <x v="4"/>
    <n v="21"/>
    <n v="80"/>
    <n v="101"/>
  </r>
  <r>
    <n v="339"/>
    <d v="2011-01-15T00:00:00"/>
    <n v="1"/>
    <n v="14"/>
    <b v="0"/>
    <n v="6"/>
    <n v="1"/>
    <x v="11"/>
    <n v="338"/>
    <n v="0.28789999999999999"/>
    <x v="17"/>
    <x v="3"/>
    <n v="26"/>
    <n v="92"/>
    <n v="118"/>
  </r>
  <r>
    <n v="340"/>
    <d v="2011-01-15T00:00:00"/>
    <n v="1"/>
    <n v="15"/>
    <b v="0"/>
    <n v="6"/>
    <n v="2"/>
    <x v="3"/>
    <n v="339"/>
    <n v="0.31819999999999998"/>
    <x v="42"/>
    <x v="5"/>
    <n v="21"/>
    <n v="108"/>
    <n v="129"/>
  </r>
  <r>
    <n v="341"/>
    <d v="2011-01-15T00:00:00"/>
    <n v="1"/>
    <n v="16"/>
    <b v="0"/>
    <n v="6"/>
    <n v="2"/>
    <x v="10"/>
    <n v="340"/>
    <n v="0.33329999999999999"/>
    <x v="46"/>
    <x v="5"/>
    <n v="33"/>
    <n v="95"/>
    <n v="128"/>
  </r>
  <r>
    <n v="342"/>
    <d v="2011-01-15T00:00:00"/>
    <n v="1"/>
    <n v="17"/>
    <b v="0"/>
    <n v="6"/>
    <n v="2"/>
    <x v="3"/>
    <n v="341"/>
    <n v="0.30299999999999999"/>
    <x v="42"/>
    <x v="3"/>
    <n v="29"/>
    <n v="54"/>
    <n v="83"/>
  </r>
  <r>
    <n v="343"/>
    <d v="2011-01-15T00:00:00"/>
    <n v="1"/>
    <n v="18"/>
    <b v="0"/>
    <n v="6"/>
    <n v="2"/>
    <x v="11"/>
    <n v="342"/>
    <n v="0.28789999999999999"/>
    <x v="49"/>
    <x v="2"/>
    <n v="15"/>
    <n v="69"/>
    <n v="84"/>
  </r>
  <r>
    <n v="344"/>
    <d v="2011-01-15T00:00:00"/>
    <n v="1"/>
    <n v="19"/>
    <b v="0"/>
    <n v="6"/>
    <n v="2"/>
    <x v="3"/>
    <n v="343"/>
    <n v="0.30299999999999999"/>
    <x v="17"/>
    <x v="2"/>
    <n v="14"/>
    <n v="60"/>
    <n v="74"/>
  </r>
  <r>
    <n v="345"/>
    <d v="2011-01-15T00:00:00"/>
    <n v="1"/>
    <n v="20"/>
    <b v="0"/>
    <n v="6"/>
    <n v="2"/>
    <x v="3"/>
    <n v="344"/>
    <n v="0.30299999999999999"/>
    <x v="17"/>
    <x v="2"/>
    <n v="6"/>
    <n v="35"/>
    <n v="41"/>
  </r>
  <r>
    <n v="346"/>
    <d v="2011-01-15T00:00:00"/>
    <n v="1"/>
    <n v="21"/>
    <b v="0"/>
    <n v="6"/>
    <n v="2"/>
    <x v="3"/>
    <n v="345"/>
    <n v="0.30299999999999999"/>
    <x v="17"/>
    <x v="6"/>
    <n v="6"/>
    <n v="51"/>
    <n v="57"/>
  </r>
  <r>
    <n v="347"/>
    <d v="2011-01-15T00:00:00"/>
    <n v="1"/>
    <n v="22"/>
    <b v="0"/>
    <n v="6"/>
    <n v="2"/>
    <x v="11"/>
    <n v="346"/>
    <n v="0.31819999999999998"/>
    <x v="16"/>
    <x v="14"/>
    <n v="0"/>
    <n v="26"/>
    <n v="26"/>
  </r>
  <r>
    <n v="348"/>
    <d v="2011-01-15T00:00:00"/>
    <n v="1"/>
    <n v="23"/>
    <b v="0"/>
    <n v="6"/>
    <n v="1"/>
    <x v="11"/>
    <n v="347"/>
    <n v="0.28789999999999999"/>
    <x v="49"/>
    <x v="3"/>
    <n v="5"/>
    <n v="39"/>
    <n v="44"/>
  </r>
  <r>
    <n v="349"/>
    <d v="2011-01-16T00:00:00"/>
    <n v="1"/>
    <n v="0"/>
    <b v="0"/>
    <n v="0"/>
    <n v="1"/>
    <x v="12"/>
    <n v="348"/>
    <n v="0.30299999999999999"/>
    <x v="34"/>
    <x v="0"/>
    <n v="6"/>
    <n v="33"/>
    <n v="39"/>
  </r>
  <r>
    <n v="350"/>
    <d v="2011-01-16T00:00:00"/>
    <n v="1"/>
    <n v="1"/>
    <b v="0"/>
    <n v="0"/>
    <n v="1"/>
    <x v="12"/>
    <n v="349"/>
    <n v="0.2727"/>
    <x v="34"/>
    <x v="7"/>
    <n v="4"/>
    <n v="19"/>
    <n v="23"/>
  </r>
  <r>
    <n v="351"/>
    <d v="2011-01-16T00:00:00"/>
    <n v="1"/>
    <n v="2"/>
    <b v="0"/>
    <n v="0"/>
    <n v="1"/>
    <x v="12"/>
    <n v="350"/>
    <n v="0.28789999999999999"/>
    <x v="34"/>
    <x v="1"/>
    <n v="3"/>
    <n v="13"/>
    <n v="16"/>
  </r>
  <r>
    <n v="352"/>
    <d v="2011-01-16T00:00:00"/>
    <n v="1"/>
    <n v="3"/>
    <b v="0"/>
    <n v="0"/>
    <n v="1"/>
    <x v="1"/>
    <n v="351"/>
    <n v="0.2727"/>
    <x v="27"/>
    <x v="0"/>
    <n v="9"/>
    <n v="6"/>
    <n v="15"/>
  </r>
  <r>
    <n v="353"/>
    <d v="2011-01-16T00:00:00"/>
    <n v="1"/>
    <n v="4"/>
    <b v="0"/>
    <n v="0"/>
    <n v="1"/>
    <x v="12"/>
    <n v="352"/>
    <n v="0.2576"/>
    <x v="34"/>
    <x v="8"/>
    <n v="0"/>
    <n v="1"/>
    <n v="1"/>
  </r>
  <r>
    <n v="354"/>
    <d v="2011-01-16T00:00:00"/>
    <n v="1"/>
    <n v="5"/>
    <b v="0"/>
    <n v="0"/>
    <n v="2"/>
    <x v="12"/>
    <n v="353"/>
    <n v="0.2576"/>
    <x v="34"/>
    <x v="8"/>
    <n v="1"/>
    <n v="1"/>
    <n v="2"/>
  </r>
  <r>
    <n v="355"/>
    <d v="2011-01-16T00:00:00"/>
    <n v="1"/>
    <n v="6"/>
    <b v="0"/>
    <n v="0"/>
    <n v="2"/>
    <x v="12"/>
    <n v="354"/>
    <n v="0.2576"/>
    <x v="34"/>
    <x v="8"/>
    <n v="0"/>
    <n v="1"/>
    <n v="1"/>
  </r>
  <r>
    <n v="356"/>
    <d v="2011-01-16T00:00:00"/>
    <n v="1"/>
    <n v="7"/>
    <b v="0"/>
    <n v="0"/>
    <n v="2"/>
    <x v="0"/>
    <n v="355"/>
    <n v="0.21210000000000001"/>
    <x v="34"/>
    <x v="4"/>
    <n v="0"/>
    <n v="3"/>
    <n v="3"/>
  </r>
  <r>
    <n v="357"/>
    <d v="2011-01-16T00:00:00"/>
    <n v="1"/>
    <n v="8"/>
    <b v="0"/>
    <n v="0"/>
    <n v="1"/>
    <x v="1"/>
    <n v="356"/>
    <n v="0.21210000000000001"/>
    <x v="28"/>
    <x v="3"/>
    <n v="0"/>
    <n v="18"/>
    <n v="18"/>
  </r>
  <r>
    <n v="358"/>
    <d v="2011-01-16T00:00:00"/>
    <n v="1"/>
    <n v="9"/>
    <b v="0"/>
    <n v="0"/>
    <n v="1"/>
    <x v="1"/>
    <n v="357"/>
    <n v="0.21210000000000001"/>
    <x v="33"/>
    <x v="2"/>
    <n v="3"/>
    <n v="29"/>
    <n v="32"/>
  </r>
  <r>
    <n v="359"/>
    <d v="2011-01-16T00:00:00"/>
    <n v="1"/>
    <n v="10"/>
    <b v="0"/>
    <n v="0"/>
    <n v="1"/>
    <x v="1"/>
    <n v="358"/>
    <n v="0.21210000000000001"/>
    <x v="33"/>
    <x v="3"/>
    <n v="8"/>
    <n v="71"/>
    <n v="79"/>
  </r>
  <r>
    <n v="360"/>
    <d v="2011-01-16T00:00:00"/>
    <n v="1"/>
    <n v="11"/>
    <b v="0"/>
    <n v="0"/>
    <n v="1"/>
    <x v="0"/>
    <n v="359"/>
    <n v="0.2273"/>
    <x v="18"/>
    <x v="2"/>
    <n v="23"/>
    <n v="70"/>
    <n v="93"/>
  </r>
  <r>
    <n v="361"/>
    <d v="2011-01-16T00:00:00"/>
    <n v="1"/>
    <n v="12"/>
    <b v="0"/>
    <n v="0"/>
    <n v="1"/>
    <x v="0"/>
    <n v="360"/>
    <n v="0.21210000000000001"/>
    <x v="48"/>
    <x v="3"/>
    <n v="29"/>
    <n v="75"/>
    <n v="104"/>
  </r>
  <r>
    <n v="362"/>
    <d v="2011-01-16T00:00:00"/>
    <n v="1"/>
    <n v="13"/>
    <b v="0"/>
    <n v="0"/>
    <n v="1"/>
    <x v="12"/>
    <n v="361"/>
    <n v="0.2273"/>
    <x v="23"/>
    <x v="4"/>
    <n v="23"/>
    <n v="95"/>
    <n v="118"/>
  </r>
  <r>
    <n v="363"/>
    <d v="2011-01-16T00:00:00"/>
    <n v="1"/>
    <n v="14"/>
    <b v="0"/>
    <n v="0"/>
    <n v="1"/>
    <x v="17"/>
    <n v="362"/>
    <n v="0.2727"/>
    <x v="42"/>
    <x v="2"/>
    <n v="22"/>
    <n v="69"/>
    <n v="91"/>
  </r>
  <r>
    <n v="364"/>
    <d v="2011-01-16T00:00:00"/>
    <n v="1"/>
    <n v="15"/>
    <b v="0"/>
    <n v="0"/>
    <n v="1"/>
    <x v="12"/>
    <n v="363"/>
    <n v="0.2424"/>
    <x v="41"/>
    <x v="2"/>
    <n v="35"/>
    <n v="78"/>
    <n v="113"/>
  </r>
  <r>
    <n v="365"/>
    <d v="2011-01-16T00:00:00"/>
    <n v="1"/>
    <n v="16"/>
    <b v="0"/>
    <n v="0"/>
    <n v="1"/>
    <x v="0"/>
    <n v="364"/>
    <n v="0.2273"/>
    <x v="41"/>
    <x v="6"/>
    <n v="22"/>
    <n v="77"/>
    <n v="99"/>
  </r>
  <r>
    <n v="366"/>
    <d v="2011-01-16T00:00:00"/>
    <n v="1"/>
    <n v="17"/>
    <b v="0"/>
    <n v="0"/>
    <n v="1"/>
    <x v="1"/>
    <n v="365"/>
    <n v="0.21210000000000001"/>
    <x v="38"/>
    <x v="2"/>
    <n v="23"/>
    <n v="82"/>
    <n v="105"/>
  </r>
  <r>
    <n v="367"/>
    <d v="2011-01-16T00:00:00"/>
    <n v="1"/>
    <n v="18"/>
    <b v="0"/>
    <n v="0"/>
    <n v="1"/>
    <x v="2"/>
    <n v="366"/>
    <n v="0.21210000000000001"/>
    <x v="22"/>
    <x v="8"/>
    <n v="11"/>
    <n v="56"/>
    <n v="67"/>
  </r>
  <r>
    <n v="368"/>
    <d v="2011-01-16T00:00:00"/>
    <n v="1"/>
    <n v="19"/>
    <b v="0"/>
    <n v="0"/>
    <n v="1"/>
    <x v="15"/>
    <n v="367"/>
    <n v="0.19700000000000001"/>
    <x v="19"/>
    <x v="7"/>
    <n v="14"/>
    <n v="47"/>
    <n v="61"/>
  </r>
  <r>
    <n v="369"/>
    <d v="2011-01-16T00:00:00"/>
    <n v="1"/>
    <n v="20"/>
    <b v="0"/>
    <n v="0"/>
    <n v="1"/>
    <x v="15"/>
    <n v="368"/>
    <n v="0.19700000000000001"/>
    <x v="19"/>
    <x v="8"/>
    <n v="7"/>
    <n v="50"/>
    <n v="57"/>
  </r>
  <r>
    <n v="370"/>
    <d v="2011-01-16T00:00:00"/>
    <n v="1"/>
    <n v="21"/>
    <b v="0"/>
    <n v="0"/>
    <n v="1"/>
    <x v="15"/>
    <n v="369"/>
    <n v="0.19700000000000001"/>
    <x v="33"/>
    <x v="8"/>
    <n v="6"/>
    <n v="22"/>
    <n v="28"/>
  </r>
  <r>
    <n v="371"/>
    <d v="2011-01-16T00:00:00"/>
    <n v="1"/>
    <n v="22"/>
    <b v="0"/>
    <n v="0"/>
    <n v="2"/>
    <x v="2"/>
    <n v="370"/>
    <n v="0.21210000000000001"/>
    <x v="36"/>
    <x v="7"/>
    <n v="2"/>
    <n v="19"/>
    <n v="21"/>
  </r>
  <r>
    <n v="372"/>
    <d v="2011-01-16T00:00:00"/>
    <n v="1"/>
    <n v="23"/>
    <b v="0"/>
    <n v="0"/>
    <n v="2"/>
    <x v="2"/>
    <n v="371"/>
    <n v="0.2273"/>
    <x v="22"/>
    <x v="14"/>
    <n v="0"/>
    <n v="18"/>
    <n v="18"/>
  </r>
  <r>
    <n v="373"/>
    <d v="2011-01-17T00:00:00"/>
    <n v="1"/>
    <n v="0"/>
    <b v="1"/>
    <n v="1"/>
    <n v="2"/>
    <x v="2"/>
    <n v="372"/>
    <n v="0.19700000000000001"/>
    <x v="19"/>
    <x v="6"/>
    <n v="1"/>
    <n v="16"/>
    <n v="17"/>
  </r>
  <r>
    <n v="374"/>
    <d v="2011-01-17T00:00:00"/>
    <n v="1"/>
    <n v="1"/>
    <b v="1"/>
    <n v="1"/>
    <n v="2"/>
    <x v="2"/>
    <n v="373"/>
    <n v="0.19700000000000001"/>
    <x v="18"/>
    <x v="5"/>
    <n v="1"/>
    <n v="15"/>
    <n v="16"/>
  </r>
  <r>
    <n v="375"/>
    <d v="2011-01-17T00:00:00"/>
    <n v="1"/>
    <n v="2"/>
    <b v="1"/>
    <n v="1"/>
    <n v="2"/>
    <x v="15"/>
    <n v="374"/>
    <n v="0.16669999999999999"/>
    <x v="21"/>
    <x v="2"/>
    <n v="0"/>
    <n v="8"/>
    <n v="8"/>
  </r>
  <r>
    <n v="376"/>
    <d v="2011-01-17T00:00:00"/>
    <n v="1"/>
    <n v="3"/>
    <b v="1"/>
    <n v="1"/>
    <n v="2"/>
    <x v="15"/>
    <n v="375"/>
    <n v="0.18179999999999999"/>
    <x v="21"/>
    <x v="5"/>
    <n v="0"/>
    <n v="2"/>
    <n v="2"/>
  </r>
  <r>
    <n v="377"/>
    <d v="2011-01-17T00:00:00"/>
    <n v="1"/>
    <n v="4"/>
    <b v="1"/>
    <n v="1"/>
    <n v="2"/>
    <x v="15"/>
    <n v="376"/>
    <n v="0.19700000000000001"/>
    <x v="21"/>
    <x v="7"/>
    <n v="1"/>
    <n v="2"/>
    <n v="3"/>
  </r>
  <r>
    <n v="378"/>
    <d v="2011-01-17T00:00:00"/>
    <n v="1"/>
    <n v="5"/>
    <b v="1"/>
    <n v="1"/>
    <n v="2"/>
    <x v="15"/>
    <n v="377"/>
    <n v="0.19700000000000001"/>
    <x v="21"/>
    <x v="8"/>
    <n v="0"/>
    <n v="1"/>
    <n v="1"/>
  </r>
  <r>
    <n v="379"/>
    <d v="2011-01-17T00:00:00"/>
    <n v="1"/>
    <n v="6"/>
    <b v="1"/>
    <n v="1"/>
    <n v="2"/>
    <x v="15"/>
    <n v="378"/>
    <n v="0.18179999999999999"/>
    <x v="21"/>
    <x v="5"/>
    <n v="0"/>
    <n v="5"/>
    <n v="5"/>
  </r>
  <r>
    <n v="380"/>
    <d v="2011-01-17T00:00:00"/>
    <n v="1"/>
    <n v="7"/>
    <b v="1"/>
    <n v="1"/>
    <n v="2"/>
    <x v="13"/>
    <n v="379"/>
    <n v="0.18179999999999999"/>
    <x v="20"/>
    <x v="7"/>
    <n v="4"/>
    <n v="9"/>
    <n v="13"/>
  </r>
  <r>
    <n v="381"/>
    <d v="2011-01-17T00:00:00"/>
    <n v="1"/>
    <n v="8"/>
    <b v="1"/>
    <n v="1"/>
    <n v="2"/>
    <x v="13"/>
    <n v="380"/>
    <n v="0.1515"/>
    <x v="19"/>
    <x v="6"/>
    <n v="3"/>
    <n v="30"/>
    <n v="33"/>
  </r>
  <r>
    <n v="382"/>
    <d v="2011-01-17T00:00:00"/>
    <n v="1"/>
    <n v="9"/>
    <b v="1"/>
    <n v="1"/>
    <n v="2"/>
    <x v="13"/>
    <n v="381"/>
    <n v="0.1515"/>
    <x v="19"/>
    <x v="6"/>
    <n v="8"/>
    <n v="39"/>
    <n v="47"/>
  </r>
  <r>
    <n v="383"/>
    <d v="2011-01-17T00:00:00"/>
    <n v="1"/>
    <n v="10"/>
    <b v="1"/>
    <n v="1"/>
    <n v="2"/>
    <x v="13"/>
    <n v="382"/>
    <n v="0.1515"/>
    <x v="20"/>
    <x v="2"/>
    <n v="7"/>
    <n v="50"/>
    <n v="57"/>
  </r>
  <r>
    <n v="384"/>
    <d v="2011-01-17T00:00:00"/>
    <n v="1"/>
    <n v="11"/>
    <b v="1"/>
    <n v="1"/>
    <n v="2"/>
    <x v="13"/>
    <n v="383"/>
    <n v="0.1515"/>
    <x v="28"/>
    <x v="5"/>
    <n v="9"/>
    <n v="55"/>
    <n v="64"/>
  </r>
  <r>
    <n v="385"/>
    <d v="2011-01-17T00:00:00"/>
    <n v="1"/>
    <n v="12"/>
    <b v="1"/>
    <n v="1"/>
    <n v="2"/>
    <x v="15"/>
    <n v="384"/>
    <n v="0.19700000000000001"/>
    <x v="19"/>
    <x v="7"/>
    <n v="10"/>
    <n v="70"/>
    <n v="80"/>
  </r>
  <r>
    <n v="386"/>
    <d v="2011-01-17T00:00:00"/>
    <n v="1"/>
    <n v="13"/>
    <b v="1"/>
    <n v="1"/>
    <n v="2"/>
    <x v="15"/>
    <n v="385"/>
    <n v="0.19700000000000001"/>
    <x v="19"/>
    <x v="7"/>
    <n v="13"/>
    <n v="80"/>
    <n v="93"/>
  </r>
  <r>
    <n v="387"/>
    <d v="2011-01-17T00:00:00"/>
    <n v="1"/>
    <n v="14"/>
    <b v="1"/>
    <n v="1"/>
    <n v="2"/>
    <x v="15"/>
    <n v="386"/>
    <n v="0.21210000000000001"/>
    <x v="21"/>
    <x v="14"/>
    <n v="12"/>
    <n v="74"/>
    <n v="86"/>
  </r>
  <r>
    <n v="388"/>
    <d v="2011-01-17T00:00:00"/>
    <n v="1"/>
    <n v="15"/>
    <b v="1"/>
    <n v="1"/>
    <n v="2"/>
    <x v="2"/>
    <n v="387"/>
    <n v="0.21210000000000001"/>
    <x v="19"/>
    <x v="8"/>
    <n v="21"/>
    <n v="72"/>
    <n v="93"/>
  </r>
  <r>
    <n v="389"/>
    <d v="2011-01-17T00:00:00"/>
    <n v="1"/>
    <n v="16"/>
    <b v="1"/>
    <n v="1"/>
    <n v="2"/>
    <x v="2"/>
    <n v="388"/>
    <n v="0.21210000000000001"/>
    <x v="19"/>
    <x v="8"/>
    <n v="6"/>
    <n v="76"/>
    <n v="82"/>
  </r>
  <r>
    <n v="390"/>
    <d v="2011-01-17T00:00:00"/>
    <n v="1"/>
    <n v="17"/>
    <b v="1"/>
    <n v="1"/>
    <n v="1"/>
    <x v="2"/>
    <n v="389"/>
    <n v="0.19700000000000001"/>
    <x v="33"/>
    <x v="5"/>
    <n v="4"/>
    <n v="67"/>
    <n v="71"/>
  </r>
  <r>
    <n v="391"/>
    <d v="2011-01-17T00:00:00"/>
    <n v="1"/>
    <n v="18"/>
    <b v="1"/>
    <n v="1"/>
    <n v="2"/>
    <x v="15"/>
    <n v="390"/>
    <n v="0.16669999999999999"/>
    <x v="28"/>
    <x v="2"/>
    <n v="7"/>
    <n v="85"/>
    <n v="92"/>
  </r>
  <r>
    <n v="392"/>
    <d v="2011-01-17T00:00:00"/>
    <n v="1"/>
    <n v="19"/>
    <b v="1"/>
    <n v="1"/>
    <n v="3"/>
    <x v="15"/>
    <n v="391"/>
    <n v="0.18179999999999999"/>
    <x v="29"/>
    <x v="5"/>
    <n v="2"/>
    <n v="58"/>
    <n v="60"/>
  </r>
  <r>
    <n v="393"/>
    <d v="2011-01-17T00:00:00"/>
    <n v="1"/>
    <n v="20"/>
    <b v="1"/>
    <n v="1"/>
    <n v="3"/>
    <x v="13"/>
    <n v="392"/>
    <n v="0.1515"/>
    <x v="1"/>
    <x v="5"/>
    <n v="4"/>
    <n v="29"/>
    <n v="33"/>
  </r>
  <r>
    <n v="394"/>
    <d v="2011-01-17T00:00:00"/>
    <n v="1"/>
    <n v="21"/>
    <b v="1"/>
    <n v="1"/>
    <n v="3"/>
    <x v="13"/>
    <n v="393"/>
    <n v="0.1515"/>
    <x v="1"/>
    <x v="5"/>
    <n v="3"/>
    <n v="24"/>
    <n v="27"/>
  </r>
  <r>
    <n v="395"/>
    <d v="2011-01-17T00:00:00"/>
    <n v="1"/>
    <n v="22"/>
    <b v="1"/>
    <n v="1"/>
    <n v="3"/>
    <x v="14"/>
    <n v="394"/>
    <n v="0.1212"/>
    <x v="43"/>
    <x v="2"/>
    <n v="0"/>
    <n v="13"/>
    <n v="13"/>
  </r>
  <r>
    <n v="396"/>
    <d v="2011-01-17T00:00:00"/>
    <n v="1"/>
    <n v="23"/>
    <b v="1"/>
    <n v="1"/>
    <n v="3"/>
    <x v="13"/>
    <n v="395"/>
    <n v="0.13639999999999999"/>
    <x v="3"/>
    <x v="3"/>
    <n v="1"/>
    <n v="3"/>
    <n v="4"/>
  </r>
  <r>
    <n v="397"/>
    <d v="2011-01-18T00:00:00"/>
    <n v="1"/>
    <n v="12"/>
    <b v="0"/>
    <n v="2"/>
    <n v="2"/>
    <x v="2"/>
    <n v="396"/>
    <n v="0.18179999999999999"/>
    <x v="3"/>
    <x v="9"/>
    <n v="0"/>
    <n v="3"/>
    <n v="3"/>
  </r>
  <r>
    <n v="398"/>
    <d v="2011-01-18T00:00:00"/>
    <n v="1"/>
    <n v="13"/>
    <b v="0"/>
    <n v="2"/>
    <n v="2"/>
    <x v="2"/>
    <n v="397"/>
    <n v="0.19700000000000001"/>
    <x v="3"/>
    <x v="6"/>
    <n v="0"/>
    <n v="22"/>
    <n v="22"/>
  </r>
  <r>
    <n v="399"/>
    <d v="2011-01-18T00:00:00"/>
    <n v="1"/>
    <n v="14"/>
    <b v="0"/>
    <n v="2"/>
    <n v="2"/>
    <x v="1"/>
    <n v="398"/>
    <n v="0.2273"/>
    <x v="1"/>
    <x v="8"/>
    <n v="2"/>
    <n v="26"/>
    <n v="28"/>
  </r>
  <r>
    <n v="400"/>
    <d v="2011-01-18T00:00:00"/>
    <n v="1"/>
    <n v="15"/>
    <b v="0"/>
    <n v="2"/>
    <n v="2"/>
    <x v="1"/>
    <n v="399"/>
    <n v="0.2273"/>
    <x v="9"/>
    <x v="8"/>
    <n v="3"/>
    <n v="32"/>
    <n v="35"/>
  </r>
  <r>
    <n v="401"/>
    <d v="2011-01-18T00:00:00"/>
    <n v="1"/>
    <n v="16"/>
    <b v="0"/>
    <n v="2"/>
    <n v="2"/>
    <x v="1"/>
    <n v="400"/>
    <n v="0.2273"/>
    <x v="9"/>
    <x v="5"/>
    <n v="0"/>
    <n v="61"/>
    <n v="61"/>
  </r>
  <r>
    <n v="402"/>
    <d v="2011-01-18T00:00:00"/>
    <n v="1"/>
    <n v="17"/>
    <b v="0"/>
    <n v="2"/>
    <n v="2"/>
    <x v="1"/>
    <n v="401"/>
    <n v="0.2273"/>
    <x v="7"/>
    <x v="5"/>
    <n v="1"/>
    <n v="124"/>
    <n v="125"/>
  </r>
  <r>
    <n v="403"/>
    <d v="2011-01-18T00:00:00"/>
    <n v="1"/>
    <n v="18"/>
    <b v="0"/>
    <n v="2"/>
    <n v="2"/>
    <x v="1"/>
    <n v="402"/>
    <n v="0.2273"/>
    <x v="1"/>
    <x v="8"/>
    <n v="1"/>
    <n v="132"/>
    <n v="133"/>
  </r>
  <r>
    <n v="404"/>
    <d v="2011-01-18T00:00:00"/>
    <n v="1"/>
    <n v="19"/>
    <b v="0"/>
    <n v="2"/>
    <n v="2"/>
    <x v="1"/>
    <n v="403"/>
    <n v="0.2273"/>
    <x v="1"/>
    <x v="7"/>
    <n v="1"/>
    <n v="98"/>
    <n v="99"/>
  </r>
  <r>
    <n v="405"/>
    <d v="2011-01-18T00:00:00"/>
    <n v="1"/>
    <n v="20"/>
    <b v="0"/>
    <n v="2"/>
    <n v="2"/>
    <x v="1"/>
    <n v="404"/>
    <n v="0.2727"/>
    <x v="9"/>
    <x v="0"/>
    <n v="0"/>
    <n v="83"/>
    <n v="83"/>
  </r>
  <r>
    <n v="406"/>
    <d v="2011-01-18T00:00:00"/>
    <n v="1"/>
    <n v="21"/>
    <b v="0"/>
    <n v="2"/>
    <n v="2"/>
    <x v="1"/>
    <n v="405"/>
    <n v="0.2424"/>
    <x v="43"/>
    <x v="14"/>
    <n v="0"/>
    <n v="41"/>
    <n v="41"/>
  </r>
  <r>
    <n v="407"/>
    <d v="2011-01-18T00:00:00"/>
    <n v="1"/>
    <n v="22"/>
    <b v="0"/>
    <n v="2"/>
    <n v="2"/>
    <x v="1"/>
    <n v="406"/>
    <n v="0.2576"/>
    <x v="43"/>
    <x v="1"/>
    <n v="0"/>
    <n v="33"/>
    <n v="33"/>
  </r>
  <r>
    <n v="408"/>
    <d v="2011-01-18T00:00:00"/>
    <n v="1"/>
    <n v="23"/>
    <b v="0"/>
    <n v="2"/>
    <n v="2"/>
    <x v="1"/>
    <n v="407"/>
    <n v="0.2727"/>
    <x v="43"/>
    <x v="0"/>
    <n v="1"/>
    <n v="19"/>
    <n v="20"/>
  </r>
  <r>
    <n v="409"/>
    <d v="2011-01-19T00:00:00"/>
    <n v="1"/>
    <n v="0"/>
    <b v="0"/>
    <n v="3"/>
    <n v="2"/>
    <x v="1"/>
    <n v="408"/>
    <n v="0.2727"/>
    <x v="43"/>
    <x v="0"/>
    <n v="0"/>
    <n v="3"/>
    <n v="3"/>
  </r>
  <r>
    <n v="410"/>
    <d v="2011-01-19T00:00:00"/>
    <n v="1"/>
    <n v="1"/>
    <b v="0"/>
    <n v="3"/>
    <n v="3"/>
    <x v="1"/>
    <n v="409"/>
    <n v="0.2273"/>
    <x v="43"/>
    <x v="7"/>
    <n v="1"/>
    <n v="6"/>
    <n v="7"/>
  </r>
  <r>
    <n v="411"/>
    <d v="2011-01-19T00:00:00"/>
    <n v="1"/>
    <n v="2"/>
    <b v="0"/>
    <n v="3"/>
    <n v="3"/>
    <x v="1"/>
    <n v="410"/>
    <n v="0.2273"/>
    <x v="43"/>
    <x v="7"/>
    <n v="0"/>
    <n v="3"/>
    <n v="3"/>
  </r>
  <r>
    <n v="412"/>
    <d v="2011-01-19T00:00:00"/>
    <n v="1"/>
    <n v="4"/>
    <b v="0"/>
    <n v="3"/>
    <n v="3"/>
    <x v="1"/>
    <n v="411"/>
    <n v="0.2273"/>
    <x v="43"/>
    <x v="7"/>
    <n v="1"/>
    <n v="1"/>
    <n v="2"/>
  </r>
  <r>
    <n v="413"/>
    <d v="2011-01-19T00:00:00"/>
    <n v="1"/>
    <n v="5"/>
    <b v="0"/>
    <n v="3"/>
    <n v="2"/>
    <x v="1"/>
    <n v="412"/>
    <n v="0.2576"/>
    <x v="43"/>
    <x v="1"/>
    <n v="0"/>
    <n v="7"/>
    <n v="7"/>
  </r>
  <r>
    <n v="414"/>
    <d v="2011-01-19T00:00:00"/>
    <n v="1"/>
    <n v="6"/>
    <b v="0"/>
    <n v="3"/>
    <n v="2"/>
    <x v="1"/>
    <n v="413"/>
    <n v="0.2576"/>
    <x v="43"/>
    <x v="1"/>
    <n v="0"/>
    <n v="32"/>
    <n v="32"/>
  </r>
  <r>
    <n v="415"/>
    <d v="2011-01-19T00:00:00"/>
    <n v="1"/>
    <n v="7"/>
    <b v="0"/>
    <n v="3"/>
    <n v="2"/>
    <x v="0"/>
    <n v="414"/>
    <n v="0.2576"/>
    <x v="50"/>
    <x v="14"/>
    <n v="1"/>
    <n v="89"/>
    <n v="90"/>
  </r>
  <r>
    <n v="416"/>
    <d v="2011-01-19T00:00:00"/>
    <n v="1"/>
    <n v="8"/>
    <b v="0"/>
    <n v="3"/>
    <n v="2"/>
    <x v="0"/>
    <n v="415"/>
    <n v="0.2576"/>
    <x v="43"/>
    <x v="14"/>
    <n v="1"/>
    <n v="196"/>
    <n v="197"/>
  </r>
  <r>
    <n v="417"/>
    <d v="2011-01-19T00:00:00"/>
    <n v="1"/>
    <n v="9"/>
    <b v="0"/>
    <n v="3"/>
    <n v="2"/>
    <x v="0"/>
    <n v="416"/>
    <n v="0.2576"/>
    <x v="43"/>
    <x v="14"/>
    <n v="2"/>
    <n v="107"/>
    <n v="109"/>
  </r>
  <r>
    <n v="418"/>
    <d v="2011-01-19T00:00:00"/>
    <n v="1"/>
    <n v="10"/>
    <b v="0"/>
    <n v="3"/>
    <n v="2"/>
    <x v="12"/>
    <n v="417"/>
    <n v="0.2727"/>
    <x v="43"/>
    <x v="7"/>
    <n v="1"/>
    <n v="46"/>
    <n v="47"/>
  </r>
  <r>
    <n v="419"/>
    <d v="2011-01-19T00:00:00"/>
    <n v="1"/>
    <n v="11"/>
    <b v="0"/>
    <n v="3"/>
    <n v="2"/>
    <x v="17"/>
    <n v="418"/>
    <n v="0.30299999999999999"/>
    <x v="9"/>
    <x v="1"/>
    <n v="5"/>
    <n v="47"/>
    <n v="52"/>
  </r>
  <r>
    <n v="420"/>
    <d v="2011-01-19T00:00:00"/>
    <n v="1"/>
    <n v="12"/>
    <b v="0"/>
    <n v="3"/>
    <n v="2"/>
    <x v="11"/>
    <n v="419"/>
    <n v="0.31819999999999998"/>
    <x v="0"/>
    <x v="1"/>
    <n v="5"/>
    <n v="65"/>
    <n v="70"/>
  </r>
  <r>
    <n v="421"/>
    <d v="2011-01-19T00:00:00"/>
    <n v="1"/>
    <n v="13"/>
    <b v="0"/>
    <n v="3"/>
    <n v="1"/>
    <x v="9"/>
    <n v="420"/>
    <n v="0.40910000000000002"/>
    <x v="51"/>
    <x v="3"/>
    <n v="11"/>
    <n v="67"/>
    <n v="78"/>
  </r>
  <r>
    <n v="422"/>
    <d v="2011-01-19T00:00:00"/>
    <n v="1"/>
    <n v="14"/>
    <b v="0"/>
    <n v="3"/>
    <n v="1"/>
    <x v="9"/>
    <n v="421"/>
    <n v="0.40910000000000002"/>
    <x v="52"/>
    <x v="2"/>
    <n v="7"/>
    <n v="68"/>
    <n v="75"/>
  </r>
  <r>
    <n v="423"/>
    <d v="2011-01-19T00:00:00"/>
    <n v="1"/>
    <n v="15"/>
    <b v="0"/>
    <n v="3"/>
    <n v="1"/>
    <x v="9"/>
    <n v="422"/>
    <n v="0.40910000000000002"/>
    <x v="47"/>
    <x v="3"/>
    <n v="4"/>
    <n v="78"/>
    <n v="82"/>
  </r>
  <r>
    <n v="424"/>
    <d v="2011-01-19T00:00:00"/>
    <n v="1"/>
    <n v="16"/>
    <b v="0"/>
    <n v="3"/>
    <n v="1"/>
    <x v="4"/>
    <n v="423"/>
    <n v="0.39389999999999997"/>
    <x v="52"/>
    <x v="13"/>
    <n v="10"/>
    <n v="94"/>
    <n v="104"/>
  </r>
  <r>
    <n v="425"/>
    <d v="2011-01-19T00:00:00"/>
    <n v="1"/>
    <n v="17"/>
    <b v="0"/>
    <n v="3"/>
    <n v="1"/>
    <x v="5"/>
    <n v="424"/>
    <n v="0.33329999999999999"/>
    <x v="14"/>
    <x v="9"/>
    <n v="7"/>
    <n v="190"/>
    <n v="197"/>
  </r>
  <r>
    <n v="426"/>
    <d v="2011-01-19T00:00:00"/>
    <n v="1"/>
    <n v="18"/>
    <b v="0"/>
    <n v="3"/>
    <n v="1"/>
    <x v="10"/>
    <n v="425"/>
    <n v="0.31819999999999998"/>
    <x v="53"/>
    <x v="3"/>
    <n v="5"/>
    <n v="156"/>
    <n v="161"/>
  </r>
  <r>
    <n v="427"/>
    <d v="2011-01-19T00:00:00"/>
    <n v="1"/>
    <n v="19"/>
    <b v="0"/>
    <n v="3"/>
    <n v="1"/>
    <x v="3"/>
    <n v="426"/>
    <n v="0.28789999999999999"/>
    <x v="14"/>
    <x v="12"/>
    <n v="4"/>
    <n v="108"/>
    <n v="112"/>
  </r>
  <r>
    <n v="428"/>
    <d v="2011-01-19T00:00:00"/>
    <n v="1"/>
    <n v="20"/>
    <b v="0"/>
    <n v="3"/>
    <n v="1"/>
    <x v="3"/>
    <n v="427"/>
    <n v="0.30299999999999999"/>
    <x v="36"/>
    <x v="4"/>
    <n v="2"/>
    <n v="74"/>
    <n v="76"/>
  </r>
  <r>
    <n v="429"/>
    <d v="2011-01-19T00:00:00"/>
    <n v="1"/>
    <n v="21"/>
    <b v="0"/>
    <n v="3"/>
    <n v="1"/>
    <x v="3"/>
    <n v="428"/>
    <n v="0.28789999999999999"/>
    <x v="36"/>
    <x v="12"/>
    <n v="4"/>
    <n v="55"/>
    <n v="59"/>
  </r>
  <r>
    <n v="430"/>
    <d v="2011-01-19T00:00:00"/>
    <n v="1"/>
    <n v="22"/>
    <b v="0"/>
    <n v="3"/>
    <n v="1"/>
    <x v="11"/>
    <n v="429"/>
    <n v="0.30299999999999999"/>
    <x v="35"/>
    <x v="8"/>
    <n v="6"/>
    <n v="53"/>
    <n v="59"/>
  </r>
  <r>
    <n v="431"/>
    <d v="2011-01-19T00:00:00"/>
    <n v="1"/>
    <n v="23"/>
    <b v="0"/>
    <n v="3"/>
    <n v="1"/>
    <x v="11"/>
    <n v="430"/>
    <n v="0.2727"/>
    <x v="35"/>
    <x v="17"/>
    <n v="1"/>
    <n v="27"/>
    <n v="28"/>
  </r>
  <r>
    <n v="432"/>
    <d v="2011-01-20T00:00:00"/>
    <n v="1"/>
    <n v="0"/>
    <b v="0"/>
    <n v="4"/>
    <n v="1"/>
    <x v="12"/>
    <n v="431"/>
    <n v="0.2273"/>
    <x v="34"/>
    <x v="13"/>
    <n v="5"/>
    <n v="8"/>
    <n v="13"/>
  </r>
  <r>
    <n v="433"/>
    <d v="2011-01-20T00:00:00"/>
    <n v="1"/>
    <n v="1"/>
    <b v="0"/>
    <n v="4"/>
    <n v="1"/>
    <x v="12"/>
    <n v="432"/>
    <n v="0.2727"/>
    <x v="34"/>
    <x v="0"/>
    <n v="2"/>
    <n v="3"/>
    <n v="5"/>
  </r>
  <r>
    <n v="434"/>
    <d v="2011-01-20T00:00:00"/>
    <n v="1"/>
    <n v="2"/>
    <b v="0"/>
    <n v="4"/>
    <n v="1"/>
    <x v="12"/>
    <n v="433"/>
    <n v="0.2727"/>
    <x v="34"/>
    <x v="0"/>
    <n v="0"/>
    <n v="2"/>
    <n v="2"/>
  </r>
  <r>
    <n v="435"/>
    <d v="2011-01-20T00:00:00"/>
    <n v="1"/>
    <n v="3"/>
    <b v="0"/>
    <n v="4"/>
    <n v="1"/>
    <x v="12"/>
    <n v="434"/>
    <n v="0.2576"/>
    <x v="34"/>
    <x v="8"/>
    <n v="0"/>
    <n v="1"/>
    <n v="1"/>
  </r>
  <r>
    <n v="436"/>
    <d v="2011-01-20T00:00:00"/>
    <n v="1"/>
    <n v="4"/>
    <b v="0"/>
    <n v="4"/>
    <n v="1"/>
    <x v="12"/>
    <n v="435"/>
    <n v="0.2576"/>
    <x v="34"/>
    <x v="8"/>
    <n v="0"/>
    <n v="1"/>
    <n v="1"/>
  </r>
  <r>
    <n v="437"/>
    <d v="2011-01-20T00:00:00"/>
    <n v="1"/>
    <n v="5"/>
    <b v="0"/>
    <n v="4"/>
    <n v="1"/>
    <x v="0"/>
    <n v="436"/>
    <n v="0.2273"/>
    <x v="54"/>
    <x v="6"/>
    <n v="0"/>
    <n v="6"/>
    <n v="6"/>
  </r>
  <r>
    <n v="438"/>
    <d v="2011-01-20T00:00:00"/>
    <n v="1"/>
    <n v="6"/>
    <b v="0"/>
    <n v="4"/>
    <n v="1"/>
    <x v="1"/>
    <n v="437"/>
    <n v="0.21210000000000001"/>
    <x v="54"/>
    <x v="6"/>
    <n v="0"/>
    <n v="35"/>
    <n v="35"/>
  </r>
  <r>
    <n v="439"/>
    <d v="2011-01-20T00:00:00"/>
    <n v="1"/>
    <n v="7"/>
    <b v="0"/>
    <n v="4"/>
    <n v="1"/>
    <x v="1"/>
    <n v="438"/>
    <n v="0.21210000000000001"/>
    <x v="28"/>
    <x v="6"/>
    <n v="1"/>
    <n v="100"/>
    <n v="101"/>
  </r>
  <r>
    <n v="440"/>
    <d v="2011-01-20T00:00:00"/>
    <n v="1"/>
    <n v="8"/>
    <b v="0"/>
    <n v="4"/>
    <n v="1"/>
    <x v="1"/>
    <n v="439"/>
    <n v="0.21210000000000001"/>
    <x v="28"/>
    <x v="3"/>
    <n v="2"/>
    <n v="247"/>
    <n v="249"/>
  </r>
  <r>
    <n v="441"/>
    <d v="2011-01-20T00:00:00"/>
    <n v="1"/>
    <n v="9"/>
    <b v="0"/>
    <n v="4"/>
    <n v="2"/>
    <x v="0"/>
    <n v="440"/>
    <n v="0.2273"/>
    <x v="35"/>
    <x v="6"/>
    <n v="3"/>
    <n v="140"/>
    <n v="143"/>
  </r>
  <r>
    <n v="442"/>
    <d v="2011-01-20T00:00:00"/>
    <n v="1"/>
    <n v="10"/>
    <b v="0"/>
    <n v="4"/>
    <n v="1"/>
    <x v="12"/>
    <n v="441"/>
    <n v="0.2273"/>
    <x v="37"/>
    <x v="4"/>
    <n v="1"/>
    <n v="56"/>
    <n v="57"/>
  </r>
  <r>
    <n v="443"/>
    <d v="2011-01-20T00:00:00"/>
    <n v="1"/>
    <n v="11"/>
    <b v="0"/>
    <n v="4"/>
    <n v="2"/>
    <x v="17"/>
    <n v="442"/>
    <n v="0.2727"/>
    <x v="49"/>
    <x v="8"/>
    <n v="5"/>
    <n v="63"/>
    <n v="68"/>
  </r>
  <r>
    <n v="444"/>
    <d v="2011-01-20T00:00:00"/>
    <n v="1"/>
    <n v="12"/>
    <b v="0"/>
    <n v="4"/>
    <n v="2"/>
    <x v="11"/>
    <n v="443"/>
    <n v="0.33329999999999999"/>
    <x v="16"/>
    <x v="0"/>
    <n v="7"/>
    <n v="77"/>
    <n v="84"/>
  </r>
  <r>
    <n v="445"/>
    <d v="2011-01-20T00:00:00"/>
    <n v="1"/>
    <n v="13"/>
    <b v="0"/>
    <n v="4"/>
    <n v="2"/>
    <x v="17"/>
    <n v="444"/>
    <n v="0.28789999999999999"/>
    <x v="49"/>
    <x v="14"/>
    <n v="12"/>
    <n v="86"/>
    <n v="98"/>
  </r>
  <r>
    <n v="446"/>
    <d v="2011-01-20T00:00:00"/>
    <n v="1"/>
    <n v="14"/>
    <b v="0"/>
    <n v="4"/>
    <n v="2"/>
    <x v="11"/>
    <n v="445"/>
    <n v="0.30299999999999999"/>
    <x v="49"/>
    <x v="7"/>
    <n v="6"/>
    <n v="75"/>
    <n v="81"/>
  </r>
  <r>
    <n v="447"/>
    <d v="2011-01-20T00:00:00"/>
    <n v="1"/>
    <n v="15"/>
    <b v="0"/>
    <n v="4"/>
    <n v="2"/>
    <x v="3"/>
    <n v="446"/>
    <n v="0.31819999999999998"/>
    <x v="49"/>
    <x v="5"/>
    <n v="8"/>
    <n v="62"/>
    <n v="70"/>
  </r>
  <r>
    <n v="448"/>
    <d v="2011-01-20T00:00:00"/>
    <n v="1"/>
    <n v="16"/>
    <b v="0"/>
    <n v="4"/>
    <n v="2"/>
    <x v="11"/>
    <n v="447"/>
    <n v="0.30299999999999999"/>
    <x v="36"/>
    <x v="7"/>
    <n v="8"/>
    <n v="83"/>
    <n v="91"/>
  </r>
  <r>
    <n v="449"/>
    <d v="2011-01-20T00:00:00"/>
    <n v="1"/>
    <n v="17"/>
    <b v="0"/>
    <n v="4"/>
    <n v="2"/>
    <x v="11"/>
    <n v="448"/>
    <n v="0.31819999999999998"/>
    <x v="36"/>
    <x v="14"/>
    <n v="8"/>
    <n v="207"/>
    <n v="215"/>
  </r>
  <r>
    <n v="450"/>
    <d v="2011-01-20T00:00:00"/>
    <n v="1"/>
    <n v="18"/>
    <b v="0"/>
    <n v="4"/>
    <n v="2"/>
    <x v="12"/>
    <n v="449"/>
    <n v="0.2576"/>
    <x v="34"/>
    <x v="5"/>
    <n v="1"/>
    <n v="184"/>
    <n v="185"/>
  </r>
  <r>
    <n v="451"/>
    <d v="2011-01-20T00:00:00"/>
    <n v="1"/>
    <n v="19"/>
    <b v="0"/>
    <n v="4"/>
    <n v="1"/>
    <x v="12"/>
    <n v="450"/>
    <n v="0.2273"/>
    <x v="34"/>
    <x v="9"/>
    <n v="6"/>
    <n v="146"/>
    <n v="152"/>
  </r>
  <r>
    <n v="452"/>
    <d v="2011-01-20T00:00:00"/>
    <n v="1"/>
    <n v="20"/>
    <b v="0"/>
    <n v="4"/>
    <n v="2"/>
    <x v="12"/>
    <n v="451"/>
    <n v="0.2424"/>
    <x v="54"/>
    <x v="3"/>
    <n v="2"/>
    <n v="124"/>
    <n v="126"/>
  </r>
  <r>
    <n v="453"/>
    <d v="2011-01-20T00:00:00"/>
    <n v="1"/>
    <n v="21"/>
    <b v="0"/>
    <n v="4"/>
    <n v="2"/>
    <x v="0"/>
    <n v="452"/>
    <n v="0.2273"/>
    <x v="54"/>
    <x v="2"/>
    <n v="3"/>
    <n v="54"/>
    <n v="57"/>
  </r>
  <r>
    <n v="454"/>
    <d v="2011-01-20T00:00:00"/>
    <n v="1"/>
    <n v="22"/>
    <b v="0"/>
    <n v="4"/>
    <n v="2"/>
    <x v="0"/>
    <n v="453"/>
    <n v="0.21210000000000001"/>
    <x v="55"/>
    <x v="3"/>
    <n v="0"/>
    <n v="56"/>
    <n v="56"/>
  </r>
  <r>
    <n v="455"/>
    <d v="2011-01-20T00:00:00"/>
    <n v="1"/>
    <n v="23"/>
    <b v="0"/>
    <n v="4"/>
    <n v="2"/>
    <x v="0"/>
    <n v="454"/>
    <n v="0.21210000000000001"/>
    <x v="55"/>
    <x v="9"/>
    <n v="3"/>
    <n v="28"/>
    <n v="31"/>
  </r>
  <r>
    <n v="456"/>
    <d v="2011-01-21T00:00:00"/>
    <n v="1"/>
    <n v="0"/>
    <b v="0"/>
    <n v="5"/>
    <n v="2"/>
    <x v="0"/>
    <n v="455"/>
    <n v="0.2273"/>
    <x v="56"/>
    <x v="2"/>
    <n v="1"/>
    <n v="20"/>
    <n v="21"/>
  </r>
  <r>
    <n v="457"/>
    <d v="2011-01-21T00:00:00"/>
    <n v="1"/>
    <n v="1"/>
    <b v="0"/>
    <n v="5"/>
    <n v="2"/>
    <x v="0"/>
    <n v="456"/>
    <n v="0.2273"/>
    <x v="56"/>
    <x v="2"/>
    <n v="0"/>
    <n v="6"/>
    <n v="6"/>
  </r>
  <r>
    <n v="458"/>
    <d v="2011-01-21T00:00:00"/>
    <n v="1"/>
    <n v="2"/>
    <b v="0"/>
    <n v="5"/>
    <n v="3"/>
    <x v="0"/>
    <n v="457"/>
    <n v="0.2424"/>
    <x v="2"/>
    <x v="8"/>
    <n v="0"/>
    <n v="2"/>
    <n v="2"/>
  </r>
  <r>
    <n v="459"/>
    <d v="2011-01-21T00:00:00"/>
    <n v="1"/>
    <n v="3"/>
    <b v="0"/>
    <n v="5"/>
    <n v="3"/>
    <x v="1"/>
    <n v="458"/>
    <n v="0.21210000000000001"/>
    <x v="1"/>
    <x v="4"/>
    <n v="0"/>
    <n v="1"/>
    <n v="1"/>
  </r>
  <r>
    <n v="460"/>
    <d v="2011-01-21T00:00:00"/>
    <n v="1"/>
    <n v="4"/>
    <b v="0"/>
    <n v="5"/>
    <n v="2"/>
    <x v="1"/>
    <n v="459"/>
    <n v="0.2576"/>
    <x v="9"/>
    <x v="1"/>
    <n v="0"/>
    <n v="1"/>
    <n v="1"/>
  </r>
  <r>
    <n v="461"/>
    <d v="2011-01-21T00:00:00"/>
    <n v="1"/>
    <n v="5"/>
    <b v="0"/>
    <n v="5"/>
    <n v="1"/>
    <x v="0"/>
    <n v="460"/>
    <n v="0.19700000000000001"/>
    <x v="54"/>
    <x v="12"/>
    <n v="1"/>
    <n v="4"/>
    <n v="5"/>
  </r>
  <r>
    <n v="462"/>
    <d v="2011-01-21T00:00:00"/>
    <n v="1"/>
    <n v="6"/>
    <b v="0"/>
    <n v="5"/>
    <n v="1"/>
    <x v="1"/>
    <n v="461"/>
    <n v="0.21210000000000001"/>
    <x v="28"/>
    <x v="2"/>
    <n v="0"/>
    <n v="27"/>
    <n v="27"/>
  </r>
  <r>
    <n v="463"/>
    <d v="2011-01-21T00:00:00"/>
    <n v="1"/>
    <n v="7"/>
    <b v="0"/>
    <n v="5"/>
    <n v="1"/>
    <x v="2"/>
    <n v="462"/>
    <n v="0.18179999999999999"/>
    <x v="33"/>
    <x v="3"/>
    <n v="2"/>
    <n v="66"/>
    <n v="68"/>
  </r>
  <r>
    <n v="464"/>
    <d v="2011-01-21T00:00:00"/>
    <n v="1"/>
    <n v="8"/>
    <b v="0"/>
    <n v="5"/>
    <n v="1"/>
    <x v="2"/>
    <n v="463"/>
    <n v="0.18179999999999999"/>
    <x v="19"/>
    <x v="9"/>
    <n v="7"/>
    <n v="210"/>
    <n v="217"/>
  </r>
  <r>
    <n v="465"/>
    <d v="2011-01-21T00:00:00"/>
    <n v="1"/>
    <n v="9"/>
    <b v="0"/>
    <n v="5"/>
    <n v="1"/>
    <x v="2"/>
    <n v="464"/>
    <n v="0.18179999999999999"/>
    <x v="33"/>
    <x v="11"/>
    <n v="7"/>
    <n v="159"/>
    <n v="166"/>
  </r>
  <r>
    <n v="466"/>
    <d v="2011-01-21T00:00:00"/>
    <n v="1"/>
    <n v="10"/>
    <b v="0"/>
    <n v="5"/>
    <n v="1"/>
    <x v="2"/>
    <n v="465"/>
    <n v="0.16669999999999999"/>
    <x v="19"/>
    <x v="17"/>
    <n v="6"/>
    <n v="57"/>
    <n v="63"/>
  </r>
  <r>
    <n v="467"/>
    <d v="2011-01-21T00:00:00"/>
    <n v="1"/>
    <n v="11"/>
    <b v="0"/>
    <n v="5"/>
    <n v="1"/>
    <x v="1"/>
    <n v="466"/>
    <n v="0.18179999999999999"/>
    <x v="48"/>
    <x v="17"/>
    <n v="6"/>
    <n v="53"/>
    <n v="59"/>
  </r>
  <r>
    <n v="468"/>
    <d v="2011-01-21T00:00:00"/>
    <n v="1"/>
    <n v="12"/>
    <b v="0"/>
    <n v="5"/>
    <n v="1"/>
    <x v="1"/>
    <n v="467"/>
    <n v="0.18179999999999999"/>
    <x v="57"/>
    <x v="19"/>
    <n v="11"/>
    <n v="67"/>
    <n v="78"/>
  </r>
  <r>
    <n v="469"/>
    <d v="2011-01-21T00:00:00"/>
    <n v="1"/>
    <n v="13"/>
    <b v="0"/>
    <n v="5"/>
    <n v="1"/>
    <x v="2"/>
    <n v="468"/>
    <n v="0.1515"/>
    <x v="58"/>
    <x v="19"/>
    <n v="8"/>
    <n v="65"/>
    <n v="73"/>
  </r>
  <r>
    <n v="470"/>
    <d v="2011-01-21T00:00:00"/>
    <n v="1"/>
    <n v="14"/>
    <b v="0"/>
    <n v="5"/>
    <n v="1"/>
    <x v="2"/>
    <n v="469"/>
    <n v="0.1515"/>
    <x v="59"/>
    <x v="18"/>
    <n v="6"/>
    <n v="56"/>
    <n v="62"/>
  </r>
  <r>
    <n v="471"/>
    <d v="2011-01-21T00:00:00"/>
    <n v="1"/>
    <n v="15"/>
    <b v="0"/>
    <n v="5"/>
    <n v="1"/>
    <x v="13"/>
    <n v="470"/>
    <n v="0.1212"/>
    <x v="60"/>
    <x v="10"/>
    <n v="4"/>
    <n v="61"/>
    <n v="65"/>
  </r>
  <r>
    <n v="472"/>
    <d v="2011-01-21T00:00:00"/>
    <n v="1"/>
    <n v="16"/>
    <b v="0"/>
    <n v="5"/>
    <n v="1"/>
    <x v="13"/>
    <n v="471"/>
    <n v="0.13639999999999999"/>
    <x v="60"/>
    <x v="11"/>
    <n v="0"/>
    <n v="97"/>
    <n v="97"/>
  </r>
  <r>
    <n v="473"/>
    <d v="2011-01-21T00:00:00"/>
    <n v="1"/>
    <n v="17"/>
    <b v="0"/>
    <n v="5"/>
    <n v="1"/>
    <x v="14"/>
    <n v="472"/>
    <n v="0.1212"/>
    <x v="40"/>
    <x v="11"/>
    <n v="10"/>
    <n v="151"/>
    <n v="161"/>
  </r>
  <r>
    <n v="474"/>
    <d v="2011-01-21T00:00:00"/>
    <n v="1"/>
    <n v="18"/>
    <b v="0"/>
    <n v="5"/>
    <n v="1"/>
    <x v="16"/>
    <n v="473"/>
    <n v="0.1212"/>
    <x v="24"/>
    <x v="2"/>
    <n v="1"/>
    <n v="119"/>
    <n v="120"/>
  </r>
  <r>
    <n v="475"/>
    <d v="2011-01-21T00:00:00"/>
    <n v="1"/>
    <n v="19"/>
    <b v="0"/>
    <n v="5"/>
    <n v="1"/>
    <x v="16"/>
    <n v="474"/>
    <n v="0.1061"/>
    <x v="24"/>
    <x v="9"/>
    <n v="3"/>
    <n v="93"/>
    <n v="96"/>
  </r>
  <r>
    <n v="476"/>
    <d v="2011-01-21T00:00:00"/>
    <n v="1"/>
    <n v="20"/>
    <b v="0"/>
    <n v="5"/>
    <n v="1"/>
    <x v="18"/>
    <n v="475"/>
    <n v="7.5800000000000006E-2"/>
    <x v="39"/>
    <x v="12"/>
    <n v="1"/>
    <n v="52"/>
    <n v="53"/>
  </r>
  <r>
    <n v="477"/>
    <d v="2011-01-21T00:00:00"/>
    <n v="1"/>
    <n v="21"/>
    <b v="0"/>
    <n v="5"/>
    <n v="1"/>
    <x v="19"/>
    <n v="476"/>
    <n v="7.5800000000000006E-2"/>
    <x v="41"/>
    <x v="3"/>
    <n v="0"/>
    <n v="41"/>
    <n v="41"/>
  </r>
  <r>
    <n v="478"/>
    <d v="2011-01-21T00:00:00"/>
    <n v="1"/>
    <n v="22"/>
    <b v="0"/>
    <n v="5"/>
    <n v="1"/>
    <x v="20"/>
    <n v="477"/>
    <n v="3.0300000000000001E-2"/>
    <x v="48"/>
    <x v="13"/>
    <n v="1"/>
    <n v="33"/>
    <n v="34"/>
  </r>
  <r>
    <n v="479"/>
    <d v="2011-01-21T00:00:00"/>
    <n v="1"/>
    <n v="23"/>
    <b v="0"/>
    <n v="5"/>
    <n v="1"/>
    <x v="20"/>
    <n v="478"/>
    <n v="4.5499999999999999E-2"/>
    <x v="41"/>
    <x v="9"/>
    <n v="0"/>
    <n v="27"/>
    <n v="27"/>
  </r>
  <r>
    <n v="480"/>
    <d v="2011-01-22T00:00:00"/>
    <n v="1"/>
    <n v="0"/>
    <b v="0"/>
    <n v="6"/>
    <n v="1"/>
    <x v="21"/>
    <n v="479"/>
    <n v="3.0300000000000001E-2"/>
    <x v="49"/>
    <x v="2"/>
    <n v="0"/>
    <n v="13"/>
    <n v="13"/>
  </r>
  <r>
    <n v="481"/>
    <d v="2011-01-22T00:00:00"/>
    <n v="1"/>
    <n v="1"/>
    <b v="0"/>
    <n v="6"/>
    <n v="2"/>
    <x v="21"/>
    <n v="480"/>
    <n v="0"/>
    <x v="48"/>
    <x v="13"/>
    <n v="3"/>
    <n v="9"/>
    <n v="12"/>
  </r>
  <r>
    <n v="482"/>
    <d v="2011-01-22T00:00:00"/>
    <n v="1"/>
    <n v="2"/>
    <b v="0"/>
    <n v="6"/>
    <n v="2"/>
    <x v="21"/>
    <n v="481"/>
    <n v="3.0300000000000001E-2"/>
    <x v="48"/>
    <x v="2"/>
    <n v="0"/>
    <n v="11"/>
    <n v="11"/>
  </r>
  <r>
    <n v="483"/>
    <d v="2011-01-22T00:00:00"/>
    <n v="1"/>
    <n v="3"/>
    <b v="0"/>
    <n v="6"/>
    <n v="2"/>
    <x v="21"/>
    <n v="482"/>
    <n v="3.0300000000000001E-2"/>
    <x v="48"/>
    <x v="3"/>
    <n v="1"/>
    <n v="6"/>
    <n v="7"/>
  </r>
  <r>
    <n v="484"/>
    <d v="2011-01-22T00:00:00"/>
    <n v="1"/>
    <n v="4"/>
    <b v="0"/>
    <n v="6"/>
    <n v="2"/>
    <x v="22"/>
    <n v="483"/>
    <n v="1.52E-2"/>
    <x v="37"/>
    <x v="4"/>
    <n v="0"/>
    <n v="3"/>
    <n v="3"/>
  </r>
  <r>
    <n v="485"/>
    <d v="2011-01-22T00:00:00"/>
    <n v="1"/>
    <n v="6"/>
    <b v="0"/>
    <n v="6"/>
    <n v="2"/>
    <x v="22"/>
    <n v="484"/>
    <n v="3.0300000000000001E-2"/>
    <x v="18"/>
    <x v="6"/>
    <n v="0"/>
    <n v="2"/>
    <n v="2"/>
  </r>
  <r>
    <n v="486"/>
    <d v="2011-01-22T00:00:00"/>
    <n v="1"/>
    <n v="7"/>
    <b v="0"/>
    <n v="6"/>
    <n v="1"/>
    <x v="22"/>
    <n v="485"/>
    <n v="1.52E-2"/>
    <x v="18"/>
    <x v="3"/>
    <n v="0"/>
    <n v="8"/>
    <n v="8"/>
  </r>
  <r>
    <n v="487"/>
    <d v="2011-01-22T00:00:00"/>
    <n v="1"/>
    <n v="8"/>
    <b v="0"/>
    <n v="6"/>
    <n v="1"/>
    <x v="22"/>
    <n v="486"/>
    <n v="0"/>
    <x v="18"/>
    <x v="9"/>
    <n v="1"/>
    <n v="26"/>
    <n v="27"/>
  </r>
  <r>
    <n v="488"/>
    <d v="2011-01-22T00:00:00"/>
    <n v="1"/>
    <n v="9"/>
    <b v="0"/>
    <n v="6"/>
    <n v="1"/>
    <x v="21"/>
    <n v="487"/>
    <n v="3.0300000000000001E-2"/>
    <x v="48"/>
    <x v="2"/>
    <n v="3"/>
    <n v="37"/>
    <n v="40"/>
  </r>
  <r>
    <n v="489"/>
    <d v="2011-01-22T00:00:00"/>
    <n v="1"/>
    <n v="10"/>
    <b v="0"/>
    <n v="6"/>
    <n v="2"/>
    <x v="21"/>
    <n v="488"/>
    <n v="6.0600000000000001E-2"/>
    <x v="48"/>
    <x v="8"/>
    <n v="3"/>
    <n v="50"/>
    <n v="53"/>
  </r>
  <r>
    <n v="490"/>
    <d v="2011-01-22T00:00:00"/>
    <n v="1"/>
    <n v="11"/>
    <b v="0"/>
    <n v="6"/>
    <n v="2"/>
    <x v="20"/>
    <n v="489"/>
    <n v="7.5800000000000006E-2"/>
    <x v="41"/>
    <x v="7"/>
    <n v="4"/>
    <n v="59"/>
    <n v="63"/>
  </r>
  <r>
    <n v="491"/>
    <d v="2011-01-22T00:00:00"/>
    <n v="1"/>
    <n v="12"/>
    <b v="0"/>
    <n v="6"/>
    <n v="2"/>
    <x v="20"/>
    <n v="490"/>
    <n v="0.1061"/>
    <x v="41"/>
    <x v="14"/>
    <n v="10"/>
    <n v="60"/>
    <n v="70"/>
  </r>
  <r>
    <n v="492"/>
    <d v="2011-01-22T00:00:00"/>
    <n v="1"/>
    <n v="13"/>
    <b v="0"/>
    <n v="6"/>
    <n v="1"/>
    <x v="19"/>
    <n v="491"/>
    <n v="0.16669999999999999"/>
    <x v="23"/>
    <x v="0"/>
    <n v="12"/>
    <n v="72"/>
    <n v="84"/>
  </r>
  <r>
    <n v="493"/>
    <d v="2011-01-22T00:00:00"/>
    <n v="1"/>
    <n v="14"/>
    <b v="0"/>
    <n v="6"/>
    <n v="1"/>
    <x v="18"/>
    <n v="492"/>
    <n v="0.13639999999999999"/>
    <x v="39"/>
    <x v="14"/>
    <n v="11"/>
    <n v="64"/>
    <n v="75"/>
  </r>
  <r>
    <n v="494"/>
    <d v="2011-01-22T00:00:00"/>
    <n v="1"/>
    <n v="15"/>
    <b v="0"/>
    <n v="6"/>
    <n v="1"/>
    <x v="16"/>
    <n v="493"/>
    <n v="0.1515"/>
    <x v="40"/>
    <x v="0"/>
    <n v="10"/>
    <n v="93"/>
    <n v="103"/>
  </r>
  <r>
    <n v="495"/>
    <d v="2011-01-22T00:00:00"/>
    <n v="1"/>
    <n v="16"/>
    <b v="0"/>
    <n v="6"/>
    <n v="1"/>
    <x v="16"/>
    <n v="494"/>
    <n v="0.13639999999999999"/>
    <x v="40"/>
    <x v="5"/>
    <n v="11"/>
    <n v="72"/>
    <n v="83"/>
  </r>
  <r>
    <n v="496"/>
    <d v="2011-01-22T00:00:00"/>
    <n v="1"/>
    <n v="17"/>
    <b v="0"/>
    <n v="6"/>
    <n v="1"/>
    <x v="16"/>
    <n v="495"/>
    <n v="0.19700000000000001"/>
    <x v="40"/>
    <x v="0"/>
    <n v="8"/>
    <n v="59"/>
    <n v="67"/>
  </r>
  <r>
    <n v="497"/>
    <d v="2011-01-22T00:00:00"/>
    <n v="1"/>
    <n v="18"/>
    <b v="0"/>
    <n v="6"/>
    <n v="1"/>
    <x v="19"/>
    <n v="496"/>
    <n v="9.0899999999999995E-2"/>
    <x v="23"/>
    <x v="5"/>
    <n v="0"/>
    <n v="54"/>
    <n v="54"/>
  </r>
  <r>
    <n v="498"/>
    <d v="2011-01-22T00:00:00"/>
    <n v="1"/>
    <n v="19"/>
    <b v="0"/>
    <n v="6"/>
    <n v="1"/>
    <x v="19"/>
    <n v="497"/>
    <n v="0.1061"/>
    <x v="23"/>
    <x v="7"/>
    <n v="6"/>
    <n v="53"/>
    <n v="59"/>
  </r>
  <r>
    <n v="499"/>
    <d v="2011-01-22T00:00:00"/>
    <n v="1"/>
    <n v="20"/>
    <b v="0"/>
    <n v="6"/>
    <n v="1"/>
    <x v="20"/>
    <n v="498"/>
    <n v="7.5800000000000006E-2"/>
    <x v="49"/>
    <x v="8"/>
    <n v="1"/>
    <n v="44"/>
    <n v="45"/>
  </r>
  <r>
    <n v="500"/>
    <d v="2011-01-22T00:00:00"/>
    <n v="1"/>
    <n v="21"/>
    <b v="0"/>
    <n v="6"/>
    <n v="1"/>
    <x v="20"/>
    <n v="499"/>
    <n v="0.1061"/>
    <x v="48"/>
    <x v="1"/>
    <n v="0"/>
    <n v="39"/>
    <n v="39"/>
  </r>
  <r>
    <n v="501"/>
    <d v="2011-01-22T00:00:00"/>
    <n v="1"/>
    <n v="22"/>
    <b v="0"/>
    <n v="6"/>
    <n v="1"/>
    <x v="20"/>
    <n v="500"/>
    <n v="0.1515"/>
    <x v="36"/>
    <x v="0"/>
    <n v="7"/>
    <n v="23"/>
    <n v="30"/>
  </r>
  <r>
    <n v="502"/>
    <d v="2011-01-22T00:00:00"/>
    <n v="1"/>
    <n v="23"/>
    <b v="0"/>
    <n v="6"/>
    <n v="1"/>
    <x v="21"/>
    <n v="501"/>
    <n v="7.5800000000000006E-2"/>
    <x v="14"/>
    <x v="14"/>
    <n v="2"/>
    <n v="31"/>
    <n v="33"/>
  </r>
  <r>
    <n v="503"/>
    <d v="2011-01-23T00:00:00"/>
    <n v="1"/>
    <n v="0"/>
    <b v="0"/>
    <n v="0"/>
    <n v="1"/>
    <x v="21"/>
    <n v="502"/>
    <n v="7.5800000000000006E-2"/>
    <x v="14"/>
    <x v="14"/>
    <n v="2"/>
    <n v="20"/>
    <n v="22"/>
  </r>
  <r>
    <n v="504"/>
    <d v="2011-01-23T00:00:00"/>
    <n v="1"/>
    <n v="1"/>
    <b v="0"/>
    <n v="0"/>
    <n v="1"/>
    <x v="21"/>
    <n v="503"/>
    <n v="7.5800000000000006E-2"/>
    <x v="14"/>
    <x v="14"/>
    <n v="1"/>
    <n v="12"/>
    <n v="13"/>
  </r>
  <r>
    <n v="505"/>
    <d v="2011-01-23T00:00:00"/>
    <n v="1"/>
    <n v="2"/>
    <b v="0"/>
    <n v="0"/>
    <n v="1"/>
    <x v="22"/>
    <n v="504"/>
    <n v="6.0600000000000001E-2"/>
    <x v="51"/>
    <x v="7"/>
    <n v="3"/>
    <n v="15"/>
    <n v="18"/>
  </r>
  <r>
    <n v="506"/>
    <d v="2011-01-23T00:00:00"/>
    <n v="1"/>
    <n v="3"/>
    <b v="0"/>
    <n v="0"/>
    <n v="1"/>
    <x v="22"/>
    <n v="505"/>
    <n v="6.0600000000000001E-2"/>
    <x v="51"/>
    <x v="7"/>
    <n v="1"/>
    <n v="4"/>
    <n v="5"/>
  </r>
  <r>
    <n v="507"/>
    <d v="2011-01-23T00:00:00"/>
    <n v="1"/>
    <n v="5"/>
    <b v="0"/>
    <n v="0"/>
    <n v="2"/>
    <x v="21"/>
    <n v="506"/>
    <n v="7.5800000000000006E-2"/>
    <x v="14"/>
    <x v="14"/>
    <n v="0"/>
    <n v="3"/>
    <n v="3"/>
  </r>
  <r>
    <n v="508"/>
    <d v="2011-01-23T00:00:00"/>
    <n v="1"/>
    <n v="6"/>
    <b v="0"/>
    <n v="0"/>
    <n v="2"/>
    <x v="21"/>
    <n v="507"/>
    <n v="7.5800000000000006E-2"/>
    <x v="14"/>
    <x v="14"/>
    <n v="0"/>
    <n v="1"/>
    <n v="1"/>
  </r>
  <r>
    <n v="509"/>
    <d v="2011-01-23T00:00:00"/>
    <n v="1"/>
    <n v="7"/>
    <b v="0"/>
    <n v="0"/>
    <n v="1"/>
    <x v="19"/>
    <n v="508"/>
    <n v="0.1061"/>
    <x v="52"/>
    <x v="8"/>
    <n v="1"/>
    <n v="1"/>
    <n v="2"/>
  </r>
  <r>
    <n v="510"/>
    <d v="2011-01-23T00:00:00"/>
    <n v="1"/>
    <n v="8"/>
    <b v="0"/>
    <n v="0"/>
    <n v="1"/>
    <x v="20"/>
    <n v="509"/>
    <n v="7.5800000000000006E-2"/>
    <x v="51"/>
    <x v="8"/>
    <n v="2"/>
    <n v="17"/>
    <n v="19"/>
  </r>
  <r>
    <n v="511"/>
    <d v="2011-01-23T00:00:00"/>
    <n v="1"/>
    <n v="9"/>
    <b v="0"/>
    <n v="0"/>
    <n v="1"/>
    <x v="18"/>
    <n v="510"/>
    <n v="7.5800000000000006E-2"/>
    <x v="47"/>
    <x v="11"/>
    <n v="3"/>
    <n v="25"/>
    <n v="28"/>
  </r>
  <r>
    <n v="512"/>
    <d v="2011-01-23T00:00:00"/>
    <n v="1"/>
    <n v="10"/>
    <b v="0"/>
    <n v="0"/>
    <n v="1"/>
    <x v="14"/>
    <n v="511"/>
    <n v="0.1061"/>
    <x v="15"/>
    <x v="13"/>
    <n v="7"/>
    <n v="51"/>
    <n v="58"/>
  </r>
  <r>
    <n v="513"/>
    <d v="2011-01-23T00:00:00"/>
    <n v="1"/>
    <n v="11"/>
    <b v="0"/>
    <n v="0"/>
    <n v="1"/>
    <x v="14"/>
    <n v="512"/>
    <n v="0.13639999999999999"/>
    <x v="21"/>
    <x v="6"/>
    <n v="22"/>
    <n v="77"/>
    <n v="99"/>
  </r>
  <r>
    <n v="514"/>
    <d v="2011-01-23T00:00:00"/>
    <n v="1"/>
    <n v="12"/>
    <b v="0"/>
    <n v="0"/>
    <n v="1"/>
    <x v="13"/>
    <n v="513"/>
    <n v="0.1212"/>
    <x v="38"/>
    <x v="17"/>
    <n v="24"/>
    <n v="92"/>
    <n v="116"/>
  </r>
  <r>
    <n v="515"/>
    <d v="2011-01-23T00:00:00"/>
    <n v="1"/>
    <n v="13"/>
    <b v="0"/>
    <n v="0"/>
    <n v="1"/>
    <x v="14"/>
    <n v="514"/>
    <n v="0.1061"/>
    <x v="39"/>
    <x v="13"/>
    <n v="12"/>
    <n v="75"/>
    <n v="87"/>
  </r>
  <r>
    <n v="516"/>
    <d v="2011-01-23T00:00:00"/>
    <n v="1"/>
    <n v="14"/>
    <b v="0"/>
    <n v="0"/>
    <n v="1"/>
    <x v="13"/>
    <n v="515"/>
    <n v="0.13639999999999999"/>
    <x v="40"/>
    <x v="11"/>
    <n v="17"/>
    <n v="93"/>
    <n v="110"/>
  </r>
  <r>
    <n v="517"/>
    <d v="2011-01-23T00:00:00"/>
    <n v="1"/>
    <n v="15"/>
    <b v="0"/>
    <n v="0"/>
    <n v="1"/>
    <x v="13"/>
    <n v="516"/>
    <n v="0.13639999999999999"/>
    <x v="40"/>
    <x v="11"/>
    <n v="13"/>
    <n v="64"/>
    <n v="77"/>
  </r>
  <r>
    <n v="518"/>
    <d v="2011-01-23T00:00:00"/>
    <n v="1"/>
    <n v="16"/>
    <b v="0"/>
    <n v="0"/>
    <n v="1"/>
    <x v="13"/>
    <n v="517"/>
    <n v="0.13639999999999999"/>
    <x v="60"/>
    <x v="9"/>
    <n v="9"/>
    <n v="56"/>
    <n v="65"/>
  </r>
  <r>
    <n v="519"/>
    <d v="2011-01-23T00:00:00"/>
    <n v="1"/>
    <n v="17"/>
    <b v="0"/>
    <n v="0"/>
    <n v="1"/>
    <x v="14"/>
    <n v="518"/>
    <n v="0.1061"/>
    <x v="60"/>
    <x v="13"/>
    <n v="5"/>
    <n v="50"/>
    <n v="55"/>
  </r>
  <r>
    <n v="520"/>
    <d v="2011-01-23T00:00:00"/>
    <n v="1"/>
    <n v="18"/>
    <b v="0"/>
    <n v="0"/>
    <n v="1"/>
    <x v="16"/>
    <n v="519"/>
    <n v="0.1212"/>
    <x v="24"/>
    <x v="2"/>
    <n v="5"/>
    <n v="44"/>
    <n v="49"/>
  </r>
  <r>
    <n v="521"/>
    <d v="2011-01-23T00:00:00"/>
    <n v="1"/>
    <n v="19"/>
    <b v="0"/>
    <n v="0"/>
    <n v="1"/>
    <x v="16"/>
    <n v="520"/>
    <n v="0.1212"/>
    <x v="24"/>
    <x v="3"/>
    <n v="5"/>
    <n v="45"/>
    <n v="50"/>
  </r>
  <r>
    <n v="522"/>
    <d v="2011-01-23T00:00:00"/>
    <n v="1"/>
    <n v="20"/>
    <b v="0"/>
    <n v="0"/>
    <n v="1"/>
    <x v="18"/>
    <n v="521"/>
    <n v="0.1061"/>
    <x v="42"/>
    <x v="2"/>
    <n v="4"/>
    <n v="31"/>
    <n v="35"/>
  </r>
  <r>
    <n v="523"/>
    <d v="2011-01-23T00:00:00"/>
    <n v="1"/>
    <n v="21"/>
    <b v="0"/>
    <n v="0"/>
    <n v="1"/>
    <x v="18"/>
    <n v="522"/>
    <n v="0.1061"/>
    <x v="42"/>
    <x v="5"/>
    <n v="5"/>
    <n v="20"/>
    <n v="25"/>
  </r>
  <r>
    <n v="524"/>
    <d v="2011-01-23T00:00:00"/>
    <n v="1"/>
    <n v="22"/>
    <b v="0"/>
    <n v="0"/>
    <n v="1"/>
    <x v="19"/>
    <n v="523"/>
    <n v="9.0899999999999995E-2"/>
    <x v="41"/>
    <x v="5"/>
    <n v="5"/>
    <n v="23"/>
    <n v="28"/>
  </r>
  <r>
    <n v="525"/>
    <d v="2011-01-23T00:00:00"/>
    <n v="1"/>
    <n v="23"/>
    <b v="0"/>
    <n v="0"/>
    <n v="1"/>
    <x v="20"/>
    <n v="524"/>
    <n v="6.0600000000000001E-2"/>
    <x v="48"/>
    <x v="6"/>
    <n v="4"/>
    <n v="17"/>
    <n v="21"/>
  </r>
  <r>
    <n v="526"/>
    <d v="2011-01-24T00:00:00"/>
    <n v="1"/>
    <n v="0"/>
    <b v="0"/>
    <n v="1"/>
    <n v="1"/>
    <x v="20"/>
    <n v="525"/>
    <n v="6.0600000000000001E-2"/>
    <x v="48"/>
    <x v="5"/>
    <n v="0"/>
    <n v="7"/>
    <n v="7"/>
  </r>
  <r>
    <n v="527"/>
    <d v="2011-01-24T00:00:00"/>
    <n v="1"/>
    <n v="1"/>
    <b v="0"/>
    <n v="1"/>
    <n v="1"/>
    <x v="21"/>
    <n v="526"/>
    <n v="4.5499999999999999E-2"/>
    <x v="49"/>
    <x v="5"/>
    <n v="0"/>
    <n v="1"/>
    <n v="1"/>
  </r>
  <r>
    <n v="528"/>
    <d v="2011-01-24T00:00:00"/>
    <n v="1"/>
    <n v="3"/>
    <b v="0"/>
    <n v="1"/>
    <n v="1"/>
    <x v="21"/>
    <n v="527"/>
    <n v="3.0300000000000001E-2"/>
    <x v="49"/>
    <x v="2"/>
    <n v="0"/>
    <n v="1"/>
    <n v="1"/>
  </r>
  <r>
    <n v="529"/>
    <d v="2011-01-24T00:00:00"/>
    <n v="1"/>
    <n v="4"/>
    <b v="0"/>
    <n v="1"/>
    <n v="1"/>
    <x v="22"/>
    <n v="528"/>
    <n v="6.0600000000000001E-2"/>
    <x v="37"/>
    <x v="7"/>
    <n v="0"/>
    <n v="1"/>
    <n v="1"/>
  </r>
  <r>
    <n v="530"/>
    <d v="2011-01-24T00:00:00"/>
    <n v="1"/>
    <n v="5"/>
    <b v="0"/>
    <n v="1"/>
    <n v="1"/>
    <x v="22"/>
    <n v="529"/>
    <n v="6.0600000000000001E-2"/>
    <x v="37"/>
    <x v="7"/>
    <n v="0"/>
    <n v="5"/>
    <n v="5"/>
  </r>
  <r>
    <n v="531"/>
    <d v="2011-01-24T00:00:00"/>
    <n v="1"/>
    <n v="6"/>
    <b v="0"/>
    <n v="1"/>
    <n v="1"/>
    <x v="22"/>
    <n v="530"/>
    <n v="7.5800000000000006E-2"/>
    <x v="37"/>
    <x v="1"/>
    <n v="0"/>
    <n v="15"/>
    <n v="15"/>
  </r>
  <r>
    <n v="532"/>
    <d v="2011-01-24T00:00:00"/>
    <n v="1"/>
    <n v="7"/>
    <b v="0"/>
    <n v="1"/>
    <n v="1"/>
    <x v="22"/>
    <n v="531"/>
    <n v="0.1212"/>
    <x v="37"/>
    <x v="0"/>
    <n v="5"/>
    <n v="79"/>
    <n v="84"/>
  </r>
  <r>
    <n v="533"/>
    <d v="2011-01-24T00:00:00"/>
    <n v="1"/>
    <n v="8"/>
    <b v="0"/>
    <n v="1"/>
    <n v="1"/>
    <x v="21"/>
    <n v="532"/>
    <n v="0.13639999999999999"/>
    <x v="36"/>
    <x v="0"/>
    <n v="6"/>
    <n v="171"/>
    <n v="177"/>
  </r>
  <r>
    <n v="534"/>
    <d v="2011-01-24T00:00:00"/>
    <n v="1"/>
    <n v="9"/>
    <b v="0"/>
    <n v="1"/>
    <n v="1"/>
    <x v="20"/>
    <n v="533"/>
    <n v="0.1515"/>
    <x v="48"/>
    <x v="0"/>
    <n v="4"/>
    <n v="98"/>
    <n v="102"/>
  </r>
  <r>
    <n v="535"/>
    <d v="2011-01-24T00:00:00"/>
    <n v="1"/>
    <n v="10"/>
    <b v="0"/>
    <n v="1"/>
    <n v="1"/>
    <x v="18"/>
    <n v="534"/>
    <n v="0.13639999999999999"/>
    <x v="16"/>
    <x v="0"/>
    <n v="6"/>
    <n v="34"/>
    <n v="40"/>
  </r>
  <r>
    <n v="536"/>
    <d v="2011-01-24T00:00:00"/>
    <n v="1"/>
    <n v="11"/>
    <b v="0"/>
    <n v="1"/>
    <n v="1"/>
    <x v="18"/>
    <n v="535"/>
    <n v="0.1212"/>
    <x v="15"/>
    <x v="7"/>
    <n v="3"/>
    <n v="43"/>
    <n v="46"/>
  </r>
  <r>
    <n v="537"/>
    <d v="2011-01-24T00:00:00"/>
    <n v="1"/>
    <n v="12"/>
    <b v="0"/>
    <n v="1"/>
    <n v="2"/>
    <x v="16"/>
    <n v="536"/>
    <n v="0.13639999999999999"/>
    <x v="16"/>
    <x v="5"/>
    <n v="11"/>
    <n v="52"/>
    <n v="63"/>
  </r>
  <r>
    <n v="538"/>
    <d v="2011-01-24T00:00:00"/>
    <n v="1"/>
    <n v="13"/>
    <b v="0"/>
    <n v="1"/>
    <n v="2"/>
    <x v="14"/>
    <n v="537"/>
    <n v="0.13639999999999999"/>
    <x v="21"/>
    <x v="6"/>
    <n v="6"/>
    <n v="54"/>
    <n v="60"/>
  </r>
  <r>
    <n v="539"/>
    <d v="2011-01-24T00:00:00"/>
    <n v="1"/>
    <n v="14"/>
    <b v="0"/>
    <n v="1"/>
    <n v="2"/>
    <x v="14"/>
    <n v="538"/>
    <n v="0.13639999999999999"/>
    <x v="15"/>
    <x v="6"/>
    <n v="2"/>
    <n v="43"/>
    <n v="45"/>
  </r>
  <r>
    <n v="540"/>
    <d v="2011-01-24T00:00:00"/>
    <n v="1"/>
    <n v="15"/>
    <b v="0"/>
    <n v="1"/>
    <n v="1"/>
    <x v="13"/>
    <n v="539"/>
    <n v="0.16669999999999999"/>
    <x v="22"/>
    <x v="8"/>
    <n v="7"/>
    <n v="50"/>
    <n v="57"/>
  </r>
  <r>
    <n v="541"/>
    <d v="2011-01-24T00:00:00"/>
    <n v="1"/>
    <n v="16"/>
    <b v="0"/>
    <n v="1"/>
    <n v="1"/>
    <x v="13"/>
    <n v="540"/>
    <n v="0.1515"/>
    <x v="19"/>
    <x v="2"/>
    <n v="4"/>
    <n v="66"/>
    <n v="70"/>
  </r>
  <r>
    <n v="542"/>
    <d v="2011-01-24T00:00:00"/>
    <n v="1"/>
    <n v="17"/>
    <b v="0"/>
    <n v="1"/>
    <n v="1"/>
    <x v="14"/>
    <n v="541"/>
    <n v="0.1212"/>
    <x v="20"/>
    <x v="2"/>
    <n v="6"/>
    <n v="178"/>
    <n v="184"/>
  </r>
  <r>
    <n v="543"/>
    <d v="2011-01-24T00:00:00"/>
    <n v="1"/>
    <n v="18"/>
    <b v="0"/>
    <n v="1"/>
    <n v="1"/>
    <x v="14"/>
    <n v="542"/>
    <n v="0.13639999999999999"/>
    <x v="29"/>
    <x v="5"/>
    <n v="8"/>
    <n v="145"/>
    <n v="153"/>
  </r>
  <r>
    <n v="544"/>
    <d v="2011-01-24T00:00:00"/>
    <n v="1"/>
    <n v="19"/>
    <b v="0"/>
    <n v="1"/>
    <n v="1"/>
    <x v="14"/>
    <n v="543"/>
    <n v="0.1515"/>
    <x v="47"/>
    <x v="8"/>
    <n v="5"/>
    <n v="101"/>
    <n v="106"/>
  </r>
  <r>
    <n v="545"/>
    <d v="2011-01-24T00:00:00"/>
    <n v="1"/>
    <n v="20"/>
    <b v="0"/>
    <n v="1"/>
    <n v="1"/>
    <x v="14"/>
    <n v="544"/>
    <n v="0.13639999999999999"/>
    <x v="29"/>
    <x v="5"/>
    <n v="1"/>
    <n v="80"/>
    <n v="81"/>
  </r>
  <r>
    <n v="546"/>
    <d v="2011-01-24T00:00:00"/>
    <n v="1"/>
    <n v="21"/>
    <b v="0"/>
    <n v="1"/>
    <n v="1"/>
    <x v="14"/>
    <n v="545"/>
    <n v="0.1515"/>
    <x v="30"/>
    <x v="8"/>
    <n v="6"/>
    <n v="53"/>
    <n v="59"/>
  </r>
  <r>
    <n v="547"/>
    <d v="2011-01-24T00:00:00"/>
    <n v="1"/>
    <n v="22"/>
    <b v="0"/>
    <n v="1"/>
    <n v="2"/>
    <x v="14"/>
    <n v="546"/>
    <n v="0.13639999999999999"/>
    <x v="30"/>
    <x v="6"/>
    <n v="3"/>
    <n v="32"/>
    <n v="35"/>
  </r>
  <r>
    <n v="548"/>
    <d v="2011-01-24T00:00:00"/>
    <n v="1"/>
    <n v="23"/>
    <b v="0"/>
    <n v="1"/>
    <n v="2"/>
    <x v="13"/>
    <n v="547"/>
    <n v="0.1515"/>
    <x v="26"/>
    <x v="2"/>
    <n v="3"/>
    <n v="21"/>
    <n v="24"/>
  </r>
  <r>
    <n v="549"/>
    <d v="2011-01-25T00:00:00"/>
    <n v="1"/>
    <n v="0"/>
    <b v="0"/>
    <n v="2"/>
    <n v="2"/>
    <x v="13"/>
    <n v="548"/>
    <n v="0.13639999999999999"/>
    <x v="27"/>
    <x v="3"/>
    <n v="3"/>
    <n v="6"/>
    <n v="9"/>
  </r>
  <r>
    <n v="550"/>
    <d v="2011-01-25T00:00:00"/>
    <n v="1"/>
    <n v="1"/>
    <b v="0"/>
    <n v="2"/>
    <n v="2"/>
    <x v="13"/>
    <n v="549"/>
    <n v="0.16669999999999999"/>
    <x v="27"/>
    <x v="8"/>
    <n v="0"/>
    <n v="5"/>
    <n v="5"/>
  </r>
  <r>
    <n v="551"/>
    <d v="2011-01-25T00:00:00"/>
    <n v="1"/>
    <n v="2"/>
    <b v="0"/>
    <n v="2"/>
    <n v="1"/>
    <x v="13"/>
    <n v="550"/>
    <n v="0.1515"/>
    <x v="27"/>
    <x v="6"/>
    <n v="0"/>
    <n v="2"/>
    <n v="2"/>
  </r>
  <r>
    <n v="552"/>
    <d v="2011-01-25T00:00:00"/>
    <n v="1"/>
    <n v="4"/>
    <b v="0"/>
    <n v="2"/>
    <n v="1"/>
    <x v="14"/>
    <n v="551"/>
    <n v="0.16669999999999999"/>
    <x v="32"/>
    <x v="14"/>
    <n v="0"/>
    <n v="1"/>
    <n v="1"/>
  </r>
  <r>
    <n v="553"/>
    <d v="2011-01-25T00:00:00"/>
    <n v="1"/>
    <n v="5"/>
    <b v="0"/>
    <n v="2"/>
    <n v="1"/>
    <x v="14"/>
    <n v="552"/>
    <n v="0.13639999999999999"/>
    <x v="32"/>
    <x v="6"/>
    <n v="0"/>
    <n v="9"/>
    <n v="9"/>
  </r>
  <r>
    <n v="554"/>
    <d v="2011-01-25T00:00:00"/>
    <n v="1"/>
    <n v="6"/>
    <b v="0"/>
    <n v="2"/>
    <n v="1"/>
    <x v="13"/>
    <n v="553"/>
    <n v="0.18179999999999999"/>
    <x v="32"/>
    <x v="14"/>
    <n v="1"/>
    <n v="35"/>
    <n v="36"/>
  </r>
  <r>
    <n v="555"/>
    <d v="2011-01-25T00:00:00"/>
    <n v="1"/>
    <n v="7"/>
    <b v="0"/>
    <n v="2"/>
    <n v="1"/>
    <x v="13"/>
    <n v="554"/>
    <n v="0.1515"/>
    <x v="32"/>
    <x v="6"/>
    <n v="5"/>
    <n v="103"/>
    <n v="108"/>
  </r>
  <r>
    <n v="556"/>
    <d v="2011-01-25T00:00:00"/>
    <n v="1"/>
    <n v="8"/>
    <b v="0"/>
    <n v="2"/>
    <n v="2"/>
    <x v="13"/>
    <n v="555"/>
    <n v="0.18179999999999999"/>
    <x v="32"/>
    <x v="7"/>
    <n v="5"/>
    <n v="233"/>
    <n v="238"/>
  </r>
  <r>
    <n v="557"/>
    <d v="2011-01-25T00:00:00"/>
    <n v="1"/>
    <n v="9"/>
    <b v="0"/>
    <n v="2"/>
    <n v="2"/>
    <x v="2"/>
    <n v="556"/>
    <n v="0.2273"/>
    <x v="26"/>
    <x v="1"/>
    <n v="10"/>
    <n v="134"/>
    <n v="144"/>
  </r>
  <r>
    <n v="558"/>
    <d v="2011-01-25T00:00:00"/>
    <n v="1"/>
    <n v="10"/>
    <b v="0"/>
    <n v="2"/>
    <n v="2"/>
    <x v="1"/>
    <n v="557"/>
    <n v="0.2424"/>
    <x v="54"/>
    <x v="14"/>
    <n v="6"/>
    <n v="49"/>
    <n v="55"/>
  </r>
  <r>
    <n v="559"/>
    <d v="2011-01-25T00:00:00"/>
    <n v="1"/>
    <n v="11"/>
    <b v="0"/>
    <n v="2"/>
    <n v="2"/>
    <x v="0"/>
    <n v="558"/>
    <n v="0.2424"/>
    <x v="54"/>
    <x v="7"/>
    <n v="6"/>
    <n v="55"/>
    <n v="61"/>
  </r>
  <r>
    <n v="560"/>
    <d v="2011-01-25T00:00:00"/>
    <n v="1"/>
    <n v="12"/>
    <b v="0"/>
    <n v="2"/>
    <n v="2"/>
    <x v="12"/>
    <n v="559"/>
    <n v="0.28789999999999999"/>
    <x v="34"/>
    <x v="1"/>
    <n v="21"/>
    <n v="85"/>
    <n v="106"/>
  </r>
  <r>
    <n v="561"/>
    <d v="2011-01-25T00:00:00"/>
    <n v="1"/>
    <n v="13"/>
    <b v="0"/>
    <n v="2"/>
    <n v="2"/>
    <x v="12"/>
    <n v="560"/>
    <n v="0.2727"/>
    <x v="34"/>
    <x v="7"/>
    <n v="21"/>
    <n v="72"/>
    <n v="93"/>
  </r>
  <r>
    <n v="562"/>
    <d v="2011-01-25T00:00:00"/>
    <n v="1"/>
    <n v="14"/>
    <b v="0"/>
    <n v="2"/>
    <n v="2"/>
    <x v="11"/>
    <n v="561"/>
    <n v="0.33329999999999999"/>
    <x v="49"/>
    <x v="0"/>
    <n v="11"/>
    <n v="57"/>
    <n v="68"/>
  </r>
  <r>
    <n v="563"/>
    <d v="2011-01-25T00:00:00"/>
    <n v="1"/>
    <n v="15"/>
    <b v="0"/>
    <n v="2"/>
    <n v="2"/>
    <x v="3"/>
    <n v="562"/>
    <n v="0.34849999999999998"/>
    <x v="16"/>
    <x v="0"/>
    <n v="21"/>
    <n v="63"/>
    <n v="84"/>
  </r>
  <r>
    <n v="564"/>
    <d v="2011-01-25T00:00:00"/>
    <n v="1"/>
    <n v="16"/>
    <b v="0"/>
    <n v="2"/>
    <n v="2"/>
    <x v="3"/>
    <n v="563"/>
    <n v="0.34849999999999998"/>
    <x v="16"/>
    <x v="0"/>
    <n v="14"/>
    <n v="102"/>
    <n v="116"/>
  </r>
  <r>
    <n v="565"/>
    <d v="2011-01-25T00:00:00"/>
    <n v="1"/>
    <n v="17"/>
    <b v="0"/>
    <n v="2"/>
    <n v="1"/>
    <x v="11"/>
    <n v="564"/>
    <n v="0.33329999999999999"/>
    <x v="49"/>
    <x v="0"/>
    <n v="14"/>
    <n v="208"/>
    <n v="222"/>
  </r>
  <r>
    <n v="566"/>
    <d v="2011-01-25T00:00:00"/>
    <n v="1"/>
    <n v="18"/>
    <b v="0"/>
    <n v="2"/>
    <n v="2"/>
    <x v="11"/>
    <n v="565"/>
    <n v="0.31819999999999998"/>
    <x v="36"/>
    <x v="1"/>
    <n v="7"/>
    <n v="218"/>
    <n v="225"/>
  </r>
  <r>
    <n v="567"/>
    <d v="2011-01-25T00:00:00"/>
    <n v="1"/>
    <n v="19"/>
    <b v="0"/>
    <n v="2"/>
    <n v="2"/>
    <x v="12"/>
    <n v="566"/>
    <n v="0.2576"/>
    <x v="55"/>
    <x v="8"/>
    <n v="13"/>
    <n v="133"/>
    <n v="146"/>
  </r>
  <r>
    <n v="568"/>
    <d v="2011-01-25T00:00:00"/>
    <n v="1"/>
    <n v="20"/>
    <b v="0"/>
    <n v="2"/>
    <n v="1"/>
    <x v="0"/>
    <n v="567"/>
    <n v="0.2273"/>
    <x v="55"/>
    <x v="5"/>
    <n v="16"/>
    <n v="103"/>
    <n v="119"/>
  </r>
  <r>
    <n v="569"/>
    <d v="2011-01-25T00:00:00"/>
    <n v="1"/>
    <n v="21"/>
    <b v="0"/>
    <n v="2"/>
    <n v="1"/>
    <x v="0"/>
    <n v="568"/>
    <n v="0.2273"/>
    <x v="55"/>
    <x v="5"/>
    <n v="5"/>
    <n v="40"/>
    <n v="45"/>
  </r>
  <r>
    <n v="570"/>
    <d v="2011-01-25T00:00:00"/>
    <n v="1"/>
    <n v="22"/>
    <b v="0"/>
    <n v="2"/>
    <n v="1"/>
    <x v="1"/>
    <n v="569"/>
    <n v="0.2273"/>
    <x v="26"/>
    <x v="8"/>
    <n v="4"/>
    <n v="49"/>
    <n v="53"/>
  </r>
  <r>
    <n v="571"/>
    <d v="2011-01-25T00:00:00"/>
    <n v="1"/>
    <n v="23"/>
    <b v="0"/>
    <n v="2"/>
    <n v="2"/>
    <x v="1"/>
    <n v="570"/>
    <n v="0.2273"/>
    <x v="26"/>
    <x v="8"/>
    <n v="3"/>
    <n v="37"/>
    <n v="40"/>
  </r>
  <r>
    <n v="572"/>
    <d v="2011-01-26T00:00:00"/>
    <n v="1"/>
    <n v="0"/>
    <b v="0"/>
    <n v="3"/>
    <n v="2"/>
    <x v="1"/>
    <n v="571"/>
    <n v="0.2273"/>
    <x v="27"/>
    <x v="7"/>
    <n v="3"/>
    <n v="14"/>
    <n v="17"/>
  </r>
  <r>
    <n v="573"/>
    <d v="2011-01-26T00:00:00"/>
    <n v="1"/>
    <n v="1"/>
    <b v="0"/>
    <n v="3"/>
    <n v="2"/>
    <x v="0"/>
    <n v="572"/>
    <n v="0.2424"/>
    <x v="55"/>
    <x v="7"/>
    <n v="0"/>
    <n v="5"/>
    <n v="5"/>
  </r>
  <r>
    <n v="574"/>
    <d v="2011-01-26T00:00:00"/>
    <n v="1"/>
    <n v="2"/>
    <b v="0"/>
    <n v="3"/>
    <n v="3"/>
    <x v="1"/>
    <n v="573"/>
    <n v="0.2273"/>
    <x v="27"/>
    <x v="5"/>
    <n v="3"/>
    <n v="7"/>
    <n v="10"/>
  </r>
  <r>
    <n v="575"/>
    <d v="2011-01-26T00:00:00"/>
    <n v="1"/>
    <n v="5"/>
    <b v="0"/>
    <n v="3"/>
    <n v="3"/>
    <x v="2"/>
    <n v="574"/>
    <n v="0.18179999999999999"/>
    <x v="3"/>
    <x v="3"/>
    <n v="0"/>
    <n v="1"/>
    <n v="1"/>
  </r>
  <r>
    <n v="576"/>
    <d v="2011-01-26T00:00:00"/>
    <n v="1"/>
    <n v="6"/>
    <b v="0"/>
    <n v="3"/>
    <n v="3"/>
    <x v="2"/>
    <n v="575"/>
    <n v="0.18179999999999999"/>
    <x v="3"/>
    <x v="3"/>
    <n v="0"/>
    <n v="8"/>
    <n v="8"/>
  </r>
  <r>
    <n v="577"/>
    <d v="2011-01-26T00:00:00"/>
    <n v="1"/>
    <n v="7"/>
    <b v="0"/>
    <n v="3"/>
    <n v="3"/>
    <x v="1"/>
    <n v="576"/>
    <n v="0.21210000000000001"/>
    <x v="9"/>
    <x v="4"/>
    <n v="1"/>
    <n v="29"/>
    <n v="30"/>
  </r>
  <r>
    <n v="578"/>
    <d v="2011-01-26T00:00:00"/>
    <n v="1"/>
    <n v="8"/>
    <b v="0"/>
    <n v="3"/>
    <n v="3"/>
    <x v="1"/>
    <n v="577"/>
    <n v="0.21210000000000001"/>
    <x v="9"/>
    <x v="4"/>
    <n v="3"/>
    <n v="69"/>
    <n v="72"/>
  </r>
  <r>
    <n v="579"/>
    <d v="2011-01-26T00:00:00"/>
    <n v="1"/>
    <n v="9"/>
    <b v="0"/>
    <n v="3"/>
    <n v="3"/>
    <x v="1"/>
    <n v="578"/>
    <n v="0.21210000000000001"/>
    <x v="9"/>
    <x v="4"/>
    <n v="3"/>
    <n v="55"/>
    <n v="58"/>
  </r>
  <r>
    <n v="580"/>
    <d v="2011-01-26T00:00:00"/>
    <n v="1"/>
    <n v="10"/>
    <b v="0"/>
    <n v="3"/>
    <n v="3"/>
    <x v="1"/>
    <n v="579"/>
    <n v="0.21210000000000001"/>
    <x v="43"/>
    <x v="3"/>
    <n v="2"/>
    <n v="26"/>
    <n v="28"/>
  </r>
  <r>
    <n v="581"/>
    <d v="2011-01-26T00:00:00"/>
    <n v="1"/>
    <n v="11"/>
    <b v="0"/>
    <n v="3"/>
    <n v="3"/>
    <x v="1"/>
    <n v="580"/>
    <n v="0.19700000000000001"/>
    <x v="43"/>
    <x v="9"/>
    <n v="6"/>
    <n v="35"/>
    <n v="41"/>
  </r>
  <r>
    <n v="582"/>
    <d v="2011-01-26T00:00:00"/>
    <n v="1"/>
    <n v="12"/>
    <b v="0"/>
    <n v="3"/>
    <n v="3"/>
    <x v="1"/>
    <n v="581"/>
    <n v="0.19700000000000001"/>
    <x v="43"/>
    <x v="9"/>
    <n v="7"/>
    <n v="41"/>
    <n v="48"/>
  </r>
  <r>
    <n v="583"/>
    <d v="2011-01-26T00:00:00"/>
    <n v="1"/>
    <n v="13"/>
    <b v="0"/>
    <n v="3"/>
    <n v="3"/>
    <x v="1"/>
    <n v="582"/>
    <n v="0.19700000000000001"/>
    <x v="43"/>
    <x v="9"/>
    <n v="4"/>
    <n v="43"/>
    <n v="47"/>
  </r>
  <r>
    <n v="584"/>
    <d v="2011-01-26T00:00:00"/>
    <n v="1"/>
    <n v="14"/>
    <b v="0"/>
    <n v="3"/>
    <n v="3"/>
    <x v="1"/>
    <n v="583"/>
    <n v="0.19700000000000001"/>
    <x v="43"/>
    <x v="11"/>
    <n v="0"/>
    <n v="36"/>
    <n v="36"/>
  </r>
  <r>
    <n v="585"/>
    <d v="2011-01-26T00:00:00"/>
    <n v="1"/>
    <n v="15"/>
    <b v="0"/>
    <n v="3"/>
    <n v="3"/>
    <x v="1"/>
    <n v="584"/>
    <n v="0.18179999999999999"/>
    <x v="43"/>
    <x v="17"/>
    <n v="1"/>
    <n v="42"/>
    <n v="43"/>
  </r>
  <r>
    <n v="586"/>
    <d v="2011-01-26T00:00:00"/>
    <n v="1"/>
    <n v="16"/>
    <b v="0"/>
    <n v="3"/>
    <n v="4"/>
    <x v="1"/>
    <n v="585"/>
    <n v="0.19700000000000001"/>
    <x v="43"/>
    <x v="9"/>
    <n v="1"/>
    <n v="35"/>
    <n v="36"/>
  </r>
  <r>
    <n v="587"/>
    <d v="2011-01-26T00:00:00"/>
    <n v="1"/>
    <n v="17"/>
    <b v="0"/>
    <n v="3"/>
    <n v="3"/>
    <x v="2"/>
    <n v="586"/>
    <n v="0.18179999999999999"/>
    <x v="43"/>
    <x v="11"/>
    <n v="0"/>
    <n v="26"/>
    <n v="26"/>
  </r>
  <r>
    <n v="588"/>
    <d v="2011-01-27T00:00:00"/>
    <n v="1"/>
    <n v="16"/>
    <b v="0"/>
    <n v="4"/>
    <n v="1"/>
    <x v="1"/>
    <n v="587"/>
    <n v="0.2273"/>
    <x v="28"/>
    <x v="5"/>
    <n v="1"/>
    <n v="23"/>
    <n v="24"/>
  </r>
  <r>
    <n v="589"/>
    <d v="2011-01-27T00:00:00"/>
    <n v="1"/>
    <n v="17"/>
    <b v="0"/>
    <n v="4"/>
    <n v="1"/>
    <x v="1"/>
    <n v="588"/>
    <n v="0.2424"/>
    <x v="28"/>
    <x v="14"/>
    <n v="2"/>
    <n v="82"/>
    <n v="84"/>
  </r>
  <r>
    <n v="590"/>
    <d v="2011-01-27T00:00:00"/>
    <n v="1"/>
    <n v="18"/>
    <b v="0"/>
    <n v="4"/>
    <n v="1"/>
    <x v="2"/>
    <n v="589"/>
    <n v="0.2273"/>
    <x v="27"/>
    <x v="1"/>
    <n v="3"/>
    <n v="101"/>
    <n v="104"/>
  </r>
  <r>
    <n v="591"/>
    <d v="2011-01-27T00:00:00"/>
    <n v="1"/>
    <n v="19"/>
    <b v="0"/>
    <n v="4"/>
    <n v="1"/>
    <x v="2"/>
    <n v="590"/>
    <n v="0.2273"/>
    <x v="27"/>
    <x v="1"/>
    <n v="3"/>
    <n v="76"/>
    <n v="79"/>
  </r>
  <r>
    <n v="592"/>
    <d v="2011-01-27T00:00:00"/>
    <n v="1"/>
    <n v="20"/>
    <b v="0"/>
    <n v="4"/>
    <n v="1"/>
    <x v="15"/>
    <n v="591"/>
    <n v="0.21210000000000001"/>
    <x v="32"/>
    <x v="1"/>
    <n v="4"/>
    <n v="55"/>
    <n v="59"/>
  </r>
  <r>
    <n v="593"/>
    <d v="2011-01-27T00:00:00"/>
    <n v="1"/>
    <n v="21"/>
    <b v="0"/>
    <n v="4"/>
    <n v="1"/>
    <x v="15"/>
    <n v="592"/>
    <n v="0.21210000000000001"/>
    <x v="32"/>
    <x v="1"/>
    <n v="2"/>
    <n v="36"/>
    <n v="38"/>
  </r>
  <r>
    <n v="594"/>
    <d v="2011-01-27T00:00:00"/>
    <n v="1"/>
    <n v="22"/>
    <b v="0"/>
    <n v="4"/>
    <n v="1"/>
    <x v="15"/>
    <n v="593"/>
    <n v="0.21210000000000001"/>
    <x v="32"/>
    <x v="1"/>
    <n v="0"/>
    <n v="27"/>
    <n v="27"/>
  </r>
  <r>
    <n v="595"/>
    <d v="2011-01-27T00:00:00"/>
    <n v="1"/>
    <n v="23"/>
    <b v="0"/>
    <n v="4"/>
    <n v="1"/>
    <x v="15"/>
    <n v="594"/>
    <n v="0.19700000000000001"/>
    <x v="1"/>
    <x v="8"/>
    <n v="0"/>
    <n v="16"/>
    <n v="16"/>
  </r>
  <r>
    <n v="596"/>
    <d v="2011-01-28T00:00:00"/>
    <n v="1"/>
    <n v="0"/>
    <b v="0"/>
    <n v="5"/>
    <n v="2"/>
    <x v="2"/>
    <n v="595"/>
    <n v="0.21210000000000001"/>
    <x v="2"/>
    <x v="7"/>
    <n v="0"/>
    <n v="9"/>
    <n v="9"/>
  </r>
  <r>
    <n v="597"/>
    <d v="2011-01-28T00:00:00"/>
    <n v="1"/>
    <n v="1"/>
    <b v="0"/>
    <n v="5"/>
    <n v="2"/>
    <x v="2"/>
    <n v="596"/>
    <n v="0.21210000000000001"/>
    <x v="2"/>
    <x v="7"/>
    <n v="1"/>
    <n v="2"/>
    <n v="3"/>
  </r>
  <r>
    <n v="598"/>
    <d v="2011-01-28T00:00:00"/>
    <n v="1"/>
    <n v="2"/>
    <b v="0"/>
    <n v="5"/>
    <n v="2"/>
    <x v="2"/>
    <n v="597"/>
    <n v="0.21210000000000001"/>
    <x v="2"/>
    <x v="8"/>
    <n v="0"/>
    <n v="2"/>
    <n v="2"/>
  </r>
  <r>
    <n v="599"/>
    <d v="2011-01-28T00:00:00"/>
    <n v="1"/>
    <n v="3"/>
    <b v="0"/>
    <n v="5"/>
    <n v="2"/>
    <x v="2"/>
    <n v="598"/>
    <n v="0.2273"/>
    <x v="2"/>
    <x v="14"/>
    <n v="1"/>
    <n v="0"/>
    <n v="1"/>
  </r>
  <r>
    <n v="600"/>
    <d v="2011-01-28T00:00:00"/>
    <n v="1"/>
    <n v="5"/>
    <b v="0"/>
    <n v="5"/>
    <n v="2"/>
    <x v="15"/>
    <n v="599"/>
    <n v="0.21210000000000001"/>
    <x v="1"/>
    <x v="14"/>
    <n v="0"/>
    <n v="4"/>
    <n v="4"/>
  </r>
  <r>
    <n v="601"/>
    <d v="2011-01-28T00:00:00"/>
    <n v="1"/>
    <n v="6"/>
    <b v="0"/>
    <n v="5"/>
    <n v="2"/>
    <x v="15"/>
    <n v="600"/>
    <n v="0.19700000000000001"/>
    <x v="1"/>
    <x v="7"/>
    <n v="0"/>
    <n v="16"/>
    <n v="16"/>
  </r>
  <r>
    <n v="602"/>
    <d v="2011-01-28T00:00:00"/>
    <n v="1"/>
    <n v="7"/>
    <b v="0"/>
    <n v="5"/>
    <n v="2"/>
    <x v="13"/>
    <n v="601"/>
    <n v="0.19700000000000001"/>
    <x v="3"/>
    <x v="1"/>
    <n v="2"/>
    <n v="58"/>
    <n v="60"/>
  </r>
  <r>
    <n v="603"/>
    <d v="2011-01-28T00:00:00"/>
    <n v="1"/>
    <n v="8"/>
    <b v="0"/>
    <n v="5"/>
    <n v="2"/>
    <x v="13"/>
    <n v="602"/>
    <n v="0.19700000000000001"/>
    <x v="3"/>
    <x v="1"/>
    <n v="2"/>
    <n v="155"/>
    <n v="157"/>
  </r>
  <r>
    <n v="604"/>
    <d v="2011-01-28T00:00:00"/>
    <n v="1"/>
    <n v="9"/>
    <b v="0"/>
    <n v="5"/>
    <n v="3"/>
    <x v="15"/>
    <n v="603"/>
    <n v="0.21210000000000001"/>
    <x v="3"/>
    <x v="1"/>
    <n v="6"/>
    <n v="95"/>
    <n v="101"/>
  </r>
  <r>
    <n v="605"/>
    <d v="2011-01-28T00:00:00"/>
    <n v="1"/>
    <n v="10"/>
    <b v="0"/>
    <n v="5"/>
    <n v="3"/>
    <x v="15"/>
    <n v="604"/>
    <n v="0.21210000000000001"/>
    <x v="3"/>
    <x v="14"/>
    <n v="0"/>
    <n v="49"/>
    <n v="49"/>
  </r>
  <r>
    <n v="606"/>
    <d v="2011-01-28T00:00:00"/>
    <n v="1"/>
    <n v="11"/>
    <b v="0"/>
    <n v="5"/>
    <n v="3"/>
    <x v="15"/>
    <n v="605"/>
    <n v="0.21210000000000001"/>
    <x v="43"/>
    <x v="14"/>
    <n v="0"/>
    <n v="30"/>
    <n v="30"/>
  </r>
  <r>
    <n v="607"/>
    <d v="2011-01-28T00:00:00"/>
    <n v="1"/>
    <n v="12"/>
    <b v="0"/>
    <n v="5"/>
    <n v="3"/>
    <x v="15"/>
    <n v="606"/>
    <n v="0.21210000000000001"/>
    <x v="43"/>
    <x v="14"/>
    <n v="1"/>
    <n v="28"/>
    <n v="29"/>
  </r>
  <r>
    <n v="608"/>
    <d v="2011-01-28T00:00:00"/>
    <n v="1"/>
    <n v="13"/>
    <b v="0"/>
    <n v="5"/>
    <n v="3"/>
    <x v="15"/>
    <n v="607"/>
    <n v="0.21210000000000001"/>
    <x v="43"/>
    <x v="14"/>
    <n v="0"/>
    <n v="31"/>
    <n v="31"/>
  </r>
  <r>
    <n v="609"/>
    <d v="2011-01-28T00:00:00"/>
    <n v="1"/>
    <n v="14"/>
    <b v="0"/>
    <n v="5"/>
    <n v="3"/>
    <x v="1"/>
    <n v="608"/>
    <n v="0.2727"/>
    <x v="1"/>
    <x v="0"/>
    <n v="2"/>
    <n v="36"/>
    <n v="38"/>
  </r>
  <r>
    <n v="610"/>
    <d v="2011-01-28T00:00:00"/>
    <n v="1"/>
    <n v="15"/>
    <b v="0"/>
    <n v="5"/>
    <n v="2"/>
    <x v="2"/>
    <n v="609"/>
    <n v="0.2576"/>
    <x v="3"/>
    <x v="0"/>
    <n v="1"/>
    <n v="40"/>
    <n v="41"/>
  </r>
  <r>
    <m/>
    <m/>
    <m/>
    <m/>
    <m/>
    <m/>
    <m/>
    <x v="23"/>
    <m/>
    <m/>
    <x v="61"/>
    <x v="2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AB9C5-62CB-4F39-8864-EB6EEE809DD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teDay (2011)">
  <location ref="A3:B32" firstHeaderRow="1" firstDataRow="1" firstDataCol="1"/>
  <pivotFields count="15">
    <pivotField showAll="0"/>
    <pivotField axis="axisRow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cnt" fld="1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39BB4-44A1-47DF-AB25-B3BAFC7D70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eathersit">
  <location ref="A3:B8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AF30C-AA79-44DD-B26C-3FBD677993A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emp">
  <location ref="A3:B2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C1766-0C9C-4426-9DDB-697ABDA41E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liday">
  <location ref="A3:B6" firstHeaderRow="1" firstDataRow="1" firstDataCol="1"/>
  <pivotFields count="15">
    <pivotField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6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59"/>
        <item x="142"/>
        <item x="14"/>
        <item x="59"/>
        <item x="135"/>
        <item x="65"/>
        <item x="155"/>
        <item x="126"/>
        <item x="130"/>
        <item x="164"/>
        <item x="151"/>
        <item x="78"/>
        <item x="92"/>
        <item x="139"/>
        <item x="149"/>
        <item x="116"/>
        <item x="131"/>
        <item x="113"/>
        <item x="73"/>
        <item x="140"/>
        <item x="87"/>
        <item x="114"/>
        <item x="120"/>
        <item x="119"/>
        <item x="145"/>
        <item x="124"/>
        <item x="163"/>
        <item x="148"/>
        <item x="158"/>
        <item x="38"/>
        <item x="107"/>
        <item x="45"/>
        <item x="125"/>
        <item x="128"/>
        <item x="143"/>
        <item x="123"/>
        <item x="82"/>
        <item x="150"/>
        <item x="72"/>
        <item x="81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21"/>
        <item x="86"/>
        <item x="57"/>
        <item x="146"/>
        <item x="112"/>
        <item x="77"/>
        <item x="161"/>
        <item x="162"/>
        <item x="160"/>
        <item x="144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382D1-EE4C-40C4-B3DE-D11DA2C8717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indspeed">
  <location ref="A3:B2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x="20"/>
        <item t="default"/>
      </items>
    </pivotField>
    <pivotField showAll="0"/>
    <pivotField showAll="0"/>
    <pivotField dataField="1" showAll="0"/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02B9A-0A91-4314-B3B7-F07110B3107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UM">
  <location ref="A3:B6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x="61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54367-D231-416C-B545-24E12DFA30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eekday">
  <location ref="A3:B11" firstHeaderRow="1" firstDataRow="1" firstDataCol="1"/>
  <pivotFields count="15">
    <pivotField showAll="0"/>
    <pivotField numFmtId="164"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D2124-16B1-4860-8982-BA68BA1A30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r">
  <location ref="A3:B28" firstHeaderRow="1" firstDataRow="1" firstDataCol="1" rowPageCount="1" colPageCount="1"/>
  <pivotFields count="15">
    <pivotField showAll="0"/>
    <pivotField numFmtId="16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166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59"/>
        <item x="142"/>
        <item x="14"/>
        <item x="59"/>
        <item x="135"/>
        <item x="65"/>
        <item x="155"/>
        <item x="126"/>
        <item x="130"/>
        <item x="164"/>
        <item x="151"/>
        <item x="78"/>
        <item x="92"/>
        <item x="139"/>
        <item x="149"/>
        <item x="116"/>
        <item x="131"/>
        <item x="113"/>
        <item x="73"/>
        <item x="140"/>
        <item x="87"/>
        <item x="114"/>
        <item x="120"/>
        <item x="119"/>
        <item x="145"/>
        <item x="124"/>
        <item x="163"/>
        <item x="148"/>
        <item x="158"/>
        <item x="38"/>
        <item x="107"/>
        <item x="45"/>
        <item x="125"/>
        <item x="128"/>
        <item x="143"/>
        <item x="123"/>
        <item x="82"/>
        <item x="150"/>
        <item x="72"/>
        <item x="81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21"/>
        <item x="86"/>
        <item x="57"/>
        <item x="146"/>
        <item x="112"/>
        <item x="77"/>
        <item x="161"/>
        <item x="162"/>
        <item x="160"/>
        <item x="144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4" hier="-1"/>
  </pageFields>
  <dataFields count="1">
    <dataField name="Sum of c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E5BB-ADA2-48C0-93CF-EB137BEA3F2A}">
  <dimension ref="A2:I32"/>
  <sheetViews>
    <sheetView workbookViewId="0">
      <selection activeCell="G2" sqref="G2"/>
    </sheetView>
  </sheetViews>
  <sheetFormatPr defaultRowHeight="14.4" x14ac:dyDescent="0.3"/>
  <cols>
    <col min="1" max="1" width="15.88671875" customWidth="1"/>
    <col min="2" max="2" width="10.109375" bestFit="1" customWidth="1"/>
    <col min="6" max="6" width="8.88671875" customWidth="1"/>
  </cols>
  <sheetData>
    <row r="2" spans="1:9" ht="23.4" x14ac:dyDescent="0.45">
      <c r="G2" s="15" t="s">
        <v>20</v>
      </c>
      <c r="H2" s="13"/>
      <c r="I2" s="13"/>
    </row>
    <row r="3" spans="1:9" x14ac:dyDescent="0.3">
      <c r="A3" s="10" t="s">
        <v>17</v>
      </c>
      <c r="B3" t="s">
        <v>16</v>
      </c>
    </row>
    <row r="4" spans="1:9" x14ac:dyDescent="0.3">
      <c r="A4" s="11">
        <v>40544</v>
      </c>
      <c r="B4">
        <v>985</v>
      </c>
    </row>
    <row r="5" spans="1:9" x14ac:dyDescent="0.3">
      <c r="A5" s="11">
        <v>40545</v>
      </c>
      <c r="B5">
        <v>801</v>
      </c>
    </row>
    <row r="6" spans="1:9" x14ac:dyDescent="0.3">
      <c r="A6" s="11">
        <v>40546</v>
      </c>
      <c r="B6">
        <v>1349</v>
      </c>
    </row>
    <row r="7" spans="1:9" ht="18" x14ac:dyDescent="0.35">
      <c r="A7" s="11">
        <v>40547</v>
      </c>
      <c r="B7">
        <v>1562</v>
      </c>
      <c r="G7" s="20"/>
      <c r="H7" s="20"/>
    </row>
    <row r="8" spans="1:9" x14ac:dyDescent="0.3">
      <c r="A8" s="11">
        <v>40548</v>
      </c>
      <c r="B8">
        <v>1600</v>
      </c>
    </row>
    <row r="9" spans="1:9" x14ac:dyDescent="0.3">
      <c r="A9" s="11">
        <v>40549</v>
      </c>
      <c r="B9">
        <v>1606</v>
      </c>
    </row>
    <row r="10" spans="1:9" x14ac:dyDescent="0.3">
      <c r="A10" s="11">
        <v>40550</v>
      </c>
      <c r="B10">
        <v>1510</v>
      </c>
    </row>
    <row r="11" spans="1:9" x14ac:dyDescent="0.3">
      <c r="A11" s="11">
        <v>40551</v>
      </c>
      <c r="B11">
        <v>959</v>
      </c>
    </row>
    <row r="12" spans="1:9" x14ac:dyDescent="0.3">
      <c r="A12" s="11">
        <v>40552</v>
      </c>
      <c r="B12">
        <v>822</v>
      </c>
    </row>
    <row r="13" spans="1:9" x14ac:dyDescent="0.3">
      <c r="A13" s="11">
        <v>40553</v>
      </c>
      <c r="B13">
        <v>1321</v>
      </c>
    </row>
    <row r="14" spans="1:9" x14ac:dyDescent="0.3">
      <c r="A14" s="11">
        <v>40554</v>
      </c>
      <c r="B14">
        <v>1263</v>
      </c>
    </row>
    <row r="15" spans="1:9" x14ac:dyDescent="0.3">
      <c r="A15" s="11">
        <v>40555</v>
      </c>
      <c r="B15">
        <v>1162</v>
      </c>
    </row>
    <row r="16" spans="1:9" x14ac:dyDescent="0.3">
      <c r="A16" s="11">
        <v>40556</v>
      </c>
      <c r="B16">
        <v>1406</v>
      </c>
    </row>
    <row r="17" spans="1:2" x14ac:dyDescent="0.3">
      <c r="A17" s="11">
        <v>40557</v>
      </c>
      <c r="B17">
        <v>1421</v>
      </c>
    </row>
    <row r="18" spans="1:2" x14ac:dyDescent="0.3">
      <c r="A18" s="11">
        <v>40558</v>
      </c>
      <c r="B18">
        <v>1248</v>
      </c>
    </row>
    <row r="19" spans="1:2" x14ac:dyDescent="0.3">
      <c r="A19" s="11">
        <v>40559</v>
      </c>
      <c r="B19">
        <v>1204</v>
      </c>
    </row>
    <row r="20" spans="1:2" x14ac:dyDescent="0.3">
      <c r="A20" s="11">
        <v>40560</v>
      </c>
      <c r="B20">
        <v>1000</v>
      </c>
    </row>
    <row r="21" spans="1:2" x14ac:dyDescent="0.3">
      <c r="A21" s="11">
        <v>40561</v>
      </c>
      <c r="B21">
        <v>683</v>
      </c>
    </row>
    <row r="22" spans="1:2" x14ac:dyDescent="0.3">
      <c r="A22" s="11">
        <v>40562</v>
      </c>
      <c r="B22">
        <v>1650</v>
      </c>
    </row>
    <row r="23" spans="1:2" x14ac:dyDescent="0.3">
      <c r="A23" s="11">
        <v>40563</v>
      </c>
      <c r="B23">
        <v>1927</v>
      </c>
    </row>
    <row r="24" spans="1:2" x14ac:dyDescent="0.3">
      <c r="A24" s="11">
        <v>40564</v>
      </c>
      <c r="B24">
        <v>1543</v>
      </c>
    </row>
    <row r="25" spans="1:2" x14ac:dyDescent="0.3">
      <c r="A25" s="11">
        <v>40565</v>
      </c>
      <c r="B25">
        <v>981</v>
      </c>
    </row>
    <row r="26" spans="1:2" x14ac:dyDescent="0.3">
      <c r="A26" s="11">
        <v>40566</v>
      </c>
      <c r="B26">
        <v>986</v>
      </c>
    </row>
    <row r="27" spans="1:2" x14ac:dyDescent="0.3">
      <c r="A27" s="11">
        <v>40567</v>
      </c>
      <c r="B27">
        <v>1416</v>
      </c>
    </row>
    <row r="28" spans="1:2" x14ac:dyDescent="0.3">
      <c r="A28" s="11">
        <v>40568</v>
      </c>
      <c r="B28">
        <v>1985</v>
      </c>
    </row>
    <row r="29" spans="1:2" x14ac:dyDescent="0.3">
      <c r="A29" s="11">
        <v>40569</v>
      </c>
      <c r="B29">
        <v>506</v>
      </c>
    </row>
    <row r="30" spans="1:2" x14ac:dyDescent="0.3">
      <c r="A30" s="11">
        <v>40570</v>
      </c>
      <c r="B30">
        <v>431</v>
      </c>
    </row>
    <row r="31" spans="1:2" x14ac:dyDescent="0.3">
      <c r="A31" s="11">
        <v>40571</v>
      </c>
      <c r="B31">
        <v>571</v>
      </c>
    </row>
    <row r="32" spans="1:2" x14ac:dyDescent="0.3">
      <c r="A32" s="11" t="s">
        <v>15</v>
      </c>
      <c r="B32">
        <v>33898</v>
      </c>
    </row>
  </sheetData>
  <mergeCells count="1">
    <mergeCell ref="G7:H7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3E95-4DCA-4E55-9F47-D031409F3BE4}">
  <dimension ref="A2:K8"/>
  <sheetViews>
    <sheetView workbookViewId="0">
      <selection activeCell="A3" sqref="A3:B8"/>
    </sheetView>
  </sheetViews>
  <sheetFormatPr defaultRowHeight="14.4" x14ac:dyDescent="0.3"/>
  <cols>
    <col min="1" max="1" width="12.33203125" bestFit="1" customWidth="1"/>
    <col min="2" max="2" width="10.109375" bestFit="1" customWidth="1"/>
    <col min="3" max="5" width="12.88671875" bestFit="1" customWidth="1"/>
    <col min="11" max="11" width="14.33203125" customWidth="1"/>
  </cols>
  <sheetData>
    <row r="2" spans="1:11" ht="23.4" x14ac:dyDescent="0.45">
      <c r="F2" s="21" t="s">
        <v>21</v>
      </c>
      <c r="G2" s="21"/>
      <c r="H2" s="21"/>
      <c r="I2" s="21"/>
      <c r="J2" s="21"/>
      <c r="K2" s="21"/>
    </row>
    <row r="3" spans="1:11" x14ac:dyDescent="0.3">
      <c r="A3" s="10" t="s">
        <v>6</v>
      </c>
      <c r="B3" t="s">
        <v>16</v>
      </c>
    </row>
    <row r="4" spans="1:11" x14ac:dyDescent="0.3">
      <c r="A4" s="12">
        <v>1</v>
      </c>
      <c r="B4">
        <v>21973</v>
      </c>
    </row>
    <row r="5" spans="1:11" x14ac:dyDescent="0.3">
      <c r="A5" s="12">
        <v>2</v>
      </c>
      <c r="B5">
        <v>10426</v>
      </c>
    </row>
    <row r="6" spans="1:11" x14ac:dyDescent="0.3">
      <c r="A6" s="12">
        <v>3</v>
      </c>
      <c r="B6">
        <v>1463</v>
      </c>
    </row>
    <row r="7" spans="1:11" x14ac:dyDescent="0.3">
      <c r="A7" s="12">
        <v>4</v>
      </c>
      <c r="B7">
        <v>36</v>
      </c>
    </row>
    <row r="8" spans="1:11" x14ac:dyDescent="0.3">
      <c r="A8" s="12" t="s">
        <v>15</v>
      </c>
      <c r="B8">
        <v>33898</v>
      </c>
    </row>
  </sheetData>
  <mergeCells count="1">
    <mergeCell ref="F2:K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D3CC-9BB8-425F-B478-565530B915F0}">
  <dimension ref="A2:J28"/>
  <sheetViews>
    <sheetView workbookViewId="0">
      <selection activeCell="G2" sqref="G2:J2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2" spans="1:10" ht="21" x14ac:dyDescent="0.4">
      <c r="F2" s="14"/>
      <c r="G2" s="16" t="s">
        <v>22</v>
      </c>
      <c r="H2" s="16"/>
      <c r="I2" s="16"/>
      <c r="J2" s="16"/>
    </row>
    <row r="3" spans="1:10" x14ac:dyDescent="0.3">
      <c r="A3" s="10" t="s">
        <v>7</v>
      </c>
      <c r="B3" t="s">
        <v>16</v>
      </c>
    </row>
    <row r="4" spans="1:10" x14ac:dyDescent="0.3">
      <c r="A4" s="12">
        <v>0.02</v>
      </c>
      <c r="B4">
        <v>168</v>
      </c>
    </row>
    <row r="5" spans="1:10" x14ac:dyDescent="0.3">
      <c r="A5" s="12">
        <v>0.04</v>
      </c>
      <c r="B5">
        <v>387</v>
      </c>
    </row>
    <row r="6" spans="1:10" x14ac:dyDescent="0.3">
      <c r="A6" s="12">
        <v>0.06</v>
      </c>
      <c r="B6">
        <v>457</v>
      </c>
    </row>
    <row r="7" spans="1:10" x14ac:dyDescent="0.3">
      <c r="A7" s="12">
        <v>0.08</v>
      </c>
      <c r="B7">
        <v>276</v>
      </c>
    </row>
    <row r="8" spans="1:10" x14ac:dyDescent="0.3">
      <c r="A8" s="12">
        <v>0.1</v>
      </c>
      <c r="B8">
        <v>495</v>
      </c>
    </row>
    <row r="9" spans="1:10" x14ac:dyDescent="0.3">
      <c r="A9" s="12">
        <v>0.12</v>
      </c>
      <c r="B9">
        <v>1498</v>
      </c>
    </row>
    <row r="10" spans="1:10" x14ac:dyDescent="0.3">
      <c r="A10" s="12">
        <v>0.14000000000000001</v>
      </c>
      <c r="B10">
        <v>2788</v>
      </c>
    </row>
    <row r="11" spans="1:10" x14ac:dyDescent="0.3">
      <c r="A11" s="12">
        <v>0.16</v>
      </c>
      <c r="B11">
        <v>4164</v>
      </c>
    </row>
    <row r="12" spans="1:10" x14ac:dyDescent="0.3">
      <c r="A12" s="12">
        <v>0.18</v>
      </c>
      <c r="B12">
        <v>2583</v>
      </c>
    </row>
    <row r="13" spans="1:10" x14ac:dyDescent="0.3">
      <c r="A13" s="12">
        <v>0.2</v>
      </c>
      <c r="B13">
        <v>5935</v>
      </c>
    </row>
    <row r="14" spans="1:10" x14ac:dyDescent="0.3">
      <c r="A14" s="12">
        <v>0.22</v>
      </c>
      <c r="B14">
        <v>4362</v>
      </c>
    </row>
    <row r="15" spans="1:10" x14ac:dyDescent="0.3">
      <c r="A15" s="12">
        <v>0.24</v>
      </c>
      <c r="B15">
        <v>2726</v>
      </c>
    </row>
    <row r="16" spans="1:10" x14ac:dyDescent="0.3">
      <c r="A16" s="12">
        <v>0.26</v>
      </c>
      <c r="B16">
        <v>2110</v>
      </c>
    </row>
    <row r="17" spans="1:2" x14ac:dyDescent="0.3">
      <c r="A17" s="12">
        <v>0.28000000000000003</v>
      </c>
      <c r="B17">
        <v>890</v>
      </c>
    </row>
    <row r="18" spans="1:2" x14ac:dyDescent="0.3">
      <c r="A18" s="12">
        <v>0.3</v>
      </c>
      <c r="B18">
        <v>1733</v>
      </c>
    </row>
    <row r="19" spans="1:2" x14ac:dyDescent="0.3">
      <c r="A19" s="12">
        <v>0.32</v>
      </c>
      <c r="B19">
        <v>945</v>
      </c>
    </row>
    <row r="20" spans="1:2" x14ac:dyDescent="0.3">
      <c r="A20" s="12">
        <v>0.34</v>
      </c>
      <c r="B20">
        <v>504</v>
      </c>
    </row>
    <row r="21" spans="1:2" x14ac:dyDescent="0.3">
      <c r="A21" s="12">
        <v>0.36</v>
      </c>
      <c r="B21">
        <v>656</v>
      </c>
    </row>
    <row r="22" spans="1:2" x14ac:dyDescent="0.3">
      <c r="A22" s="12">
        <v>0.38</v>
      </c>
      <c r="B22">
        <v>160</v>
      </c>
    </row>
    <row r="23" spans="1:2" x14ac:dyDescent="0.3">
      <c r="A23" s="12">
        <v>0.4</v>
      </c>
      <c r="B23">
        <v>342</v>
      </c>
    </row>
    <row r="24" spans="1:2" x14ac:dyDescent="0.3">
      <c r="A24" s="12">
        <v>0.42</v>
      </c>
      <c r="B24">
        <v>260</v>
      </c>
    </row>
    <row r="25" spans="1:2" x14ac:dyDescent="0.3">
      <c r="A25" s="12">
        <v>0.44</v>
      </c>
      <c r="B25">
        <v>194</v>
      </c>
    </row>
    <row r="26" spans="1:2" x14ac:dyDescent="0.3">
      <c r="A26" s="12">
        <v>0.46</v>
      </c>
      <c r="B26">
        <v>265</v>
      </c>
    </row>
    <row r="27" spans="1:2" x14ac:dyDescent="0.3">
      <c r="A27" s="12" t="s">
        <v>18</v>
      </c>
    </row>
    <row r="28" spans="1:2" x14ac:dyDescent="0.3">
      <c r="A28" s="12" t="s">
        <v>15</v>
      </c>
      <c r="B28">
        <v>33898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608B-CF47-49A7-9C3D-AE04FD15CF9A}">
  <dimension ref="A1:K6"/>
  <sheetViews>
    <sheetView tabSelected="1"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1" spans="1:11" x14ac:dyDescent="0.3">
      <c r="G1" s="21" t="s">
        <v>28</v>
      </c>
      <c r="H1" s="21"/>
      <c r="I1" s="21"/>
      <c r="J1" s="21"/>
      <c r="K1" s="21"/>
    </row>
    <row r="2" spans="1:11" x14ac:dyDescent="0.3">
      <c r="G2" s="21"/>
      <c r="H2" s="21"/>
      <c r="I2" s="21"/>
      <c r="J2" s="21"/>
      <c r="K2" s="21"/>
    </row>
    <row r="3" spans="1:11" x14ac:dyDescent="0.3">
      <c r="A3" s="10" t="s">
        <v>4</v>
      </c>
      <c r="B3" t="s">
        <v>16</v>
      </c>
    </row>
    <row r="4" spans="1:11" x14ac:dyDescent="0.3">
      <c r="A4" s="12" t="s">
        <v>26</v>
      </c>
      <c r="B4">
        <v>32898</v>
      </c>
    </row>
    <row r="5" spans="1:11" x14ac:dyDescent="0.3">
      <c r="A5" s="12" t="s">
        <v>27</v>
      </c>
      <c r="B5">
        <v>1000</v>
      </c>
    </row>
    <row r="6" spans="1:11" x14ac:dyDescent="0.3">
      <c r="A6" s="12" t="s">
        <v>15</v>
      </c>
      <c r="B6">
        <v>33898</v>
      </c>
    </row>
  </sheetData>
  <mergeCells count="1">
    <mergeCell ref="G1:K2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454E-99AB-48BD-B333-AD93A64486A3}">
  <dimension ref="A2:L25"/>
  <sheetViews>
    <sheetView workbookViewId="0">
      <selection activeCell="G2" sqref="G2:L2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2" spans="1:12" ht="18" x14ac:dyDescent="0.35">
      <c r="G2" s="17" t="s">
        <v>23</v>
      </c>
      <c r="H2" s="17"/>
      <c r="I2" s="17"/>
      <c r="J2" s="18"/>
      <c r="K2" s="18"/>
      <c r="L2" s="18"/>
    </row>
    <row r="3" spans="1:12" x14ac:dyDescent="0.3">
      <c r="A3" s="10" t="s">
        <v>19</v>
      </c>
      <c r="B3" t="s">
        <v>16</v>
      </c>
    </row>
    <row r="4" spans="1:12" x14ac:dyDescent="0.3">
      <c r="A4" s="12">
        <v>0</v>
      </c>
      <c r="B4">
        <v>3404</v>
      </c>
    </row>
    <row r="5" spans="1:12" x14ac:dyDescent="0.3">
      <c r="A5" s="12">
        <v>8.9599999999999999E-2</v>
      </c>
      <c r="B5">
        <v>2478</v>
      </c>
    </row>
    <row r="6" spans="1:12" x14ac:dyDescent="0.3">
      <c r="A6" s="12">
        <v>0.1045</v>
      </c>
      <c r="B6">
        <v>2652</v>
      </c>
    </row>
    <row r="7" spans="1:12" x14ac:dyDescent="0.3">
      <c r="A7" s="12">
        <v>0.1343</v>
      </c>
      <c r="B7">
        <v>2493</v>
      </c>
    </row>
    <row r="8" spans="1:12" x14ac:dyDescent="0.3">
      <c r="A8" s="12">
        <v>0.16420000000000001</v>
      </c>
      <c r="B8">
        <v>3369</v>
      </c>
    </row>
    <row r="9" spans="1:12" x14ac:dyDescent="0.3">
      <c r="A9" s="12">
        <v>0.19400000000000001</v>
      </c>
      <c r="B9">
        <v>3027</v>
      </c>
    </row>
    <row r="10" spans="1:12" x14ac:dyDescent="0.3">
      <c r="A10" s="12">
        <v>0.22389999999999999</v>
      </c>
      <c r="B10">
        <v>2544</v>
      </c>
    </row>
    <row r="11" spans="1:12" x14ac:dyDescent="0.3">
      <c r="A11" s="12">
        <v>0.25369999999999998</v>
      </c>
      <c r="B11">
        <v>2783</v>
      </c>
    </row>
    <row r="12" spans="1:12" x14ac:dyDescent="0.3">
      <c r="A12" s="12">
        <v>0.28360000000000002</v>
      </c>
      <c r="B12">
        <v>2824</v>
      </c>
    </row>
    <row r="13" spans="1:12" x14ac:dyDescent="0.3">
      <c r="A13" s="12">
        <v>0.29849999999999999</v>
      </c>
      <c r="B13">
        <v>1698</v>
      </c>
    </row>
    <row r="14" spans="1:12" x14ac:dyDescent="0.3">
      <c r="A14" s="12">
        <v>0.32840000000000003</v>
      </c>
      <c r="B14">
        <v>2337</v>
      </c>
    </row>
    <row r="15" spans="1:12" x14ac:dyDescent="0.3">
      <c r="A15" s="12">
        <v>0.35820000000000002</v>
      </c>
      <c r="B15">
        <v>1251</v>
      </c>
    </row>
    <row r="16" spans="1:12" x14ac:dyDescent="0.3">
      <c r="A16" s="12">
        <v>0.3881</v>
      </c>
      <c r="B16">
        <v>868</v>
      </c>
    </row>
    <row r="17" spans="1:2" x14ac:dyDescent="0.3">
      <c r="A17" s="12">
        <v>0.41789999999999999</v>
      </c>
      <c r="B17">
        <v>459</v>
      </c>
    </row>
    <row r="18" spans="1:2" x14ac:dyDescent="0.3">
      <c r="A18" s="12">
        <v>0.44779999999999998</v>
      </c>
      <c r="B18">
        <v>670</v>
      </c>
    </row>
    <row r="19" spans="1:2" x14ac:dyDescent="0.3">
      <c r="A19" s="12">
        <v>0.4627</v>
      </c>
      <c r="B19">
        <v>404</v>
      </c>
    </row>
    <row r="20" spans="1:2" x14ac:dyDescent="0.3">
      <c r="A20" s="12">
        <v>0.49249999999999999</v>
      </c>
      <c r="B20">
        <v>95</v>
      </c>
    </row>
    <row r="21" spans="1:2" x14ac:dyDescent="0.3">
      <c r="A21" s="12">
        <v>0.52239999999999998</v>
      </c>
      <c r="B21">
        <v>267</v>
      </c>
    </row>
    <row r="22" spans="1:2" x14ac:dyDescent="0.3">
      <c r="A22" s="12">
        <v>0.55220000000000002</v>
      </c>
      <c r="B22">
        <v>69</v>
      </c>
    </row>
    <row r="23" spans="1:2" x14ac:dyDescent="0.3">
      <c r="A23" s="12">
        <v>0.58209999999999995</v>
      </c>
      <c r="B23">
        <v>206</v>
      </c>
    </row>
    <row r="24" spans="1:2" x14ac:dyDescent="0.3">
      <c r="A24" s="12" t="s">
        <v>18</v>
      </c>
    </row>
    <row r="25" spans="1:2" x14ac:dyDescent="0.3">
      <c r="A25" s="12" t="s">
        <v>15</v>
      </c>
      <c r="B25">
        <v>33898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5406-63FE-452E-BA5F-199BCB0540CE}">
  <dimension ref="A2:J66"/>
  <sheetViews>
    <sheetView workbookViewId="0">
      <selection activeCell="G2" sqref="G2:J2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2" spans="1:10" ht="18" x14ac:dyDescent="0.35">
      <c r="G2" s="22" t="s">
        <v>25</v>
      </c>
      <c r="H2" s="22"/>
      <c r="I2" s="22"/>
      <c r="J2" s="22"/>
    </row>
    <row r="3" spans="1:10" x14ac:dyDescent="0.3">
      <c r="A3" s="10" t="s">
        <v>24</v>
      </c>
      <c r="B3" t="s">
        <v>16</v>
      </c>
    </row>
    <row r="4" spans="1:10" x14ac:dyDescent="0.3">
      <c r="A4" s="12">
        <v>0.21</v>
      </c>
      <c r="B4">
        <v>73</v>
      </c>
    </row>
    <row r="5" spans="1:10" x14ac:dyDescent="0.3">
      <c r="A5" s="12">
        <v>0.25</v>
      </c>
      <c r="B5">
        <v>62</v>
      </c>
    </row>
    <row r="6" spans="1:10" x14ac:dyDescent="0.3">
      <c r="A6" s="12">
        <v>0.26</v>
      </c>
      <c r="B6">
        <v>282</v>
      </c>
    </row>
    <row r="7" spans="1:10" x14ac:dyDescent="0.3">
      <c r="A7" s="12">
        <v>0.27</v>
      </c>
      <c r="B7">
        <v>78</v>
      </c>
    </row>
    <row r="8" spans="1:10" x14ac:dyDescent="0.3">
      <c r="A8" s="12">
        <v>0.28000000000000003</v>
      </c>
      <c r="B8">
        <v>814</v>
      </c>
    </row>
    <row r="9" spans="1:10" x14ac:dyDescent="0.3">
      <c r="A9" s="12">
        <v>0.28999999999999998</v>
      </c>
      <c r="B9">
        <v>76</v>
      </c>
    </row>
    <row r="10" spans="1:10" x14ac:dyDescent="0.3">
      <c r="A10" s="12">
        <v>0.3</v>
      </c>
      <c r="B10">
        <v>768</v>
      </c>
    </row>
    <row r="11" spans="1:10" x14ac:dyDescent="0.3">
      <c r="A11" s="12">
        <v>0.32</v>
      </c>
      <c r="B11">
        <v>398</v>
      </c>
    </row>
    <row r="12" spans="1:10" x14ac:dyDescent="0.3">
      <c r="A12" s="12">
        <v>0.33</v>
      </c>
      <c r="B12">
        <v>340</v>
      </c>
    </row>
    <row r="13" spans="1:10" x14ac:dyDescent="0.3">
      <c r="A13" s="12">
        <v>0.34</v>
      </c>
      <c r="B13">
        <v>295</v>
      </c>
    </row>
    <row r="14" spans="1:10" x14ac:dyDescent="0.3">
      <c r="A14" s="12">
        <v>0.35</v>
      </c>
      <c r="B14">
        <v>670</v>
      </c>
    </row>
    <row r="15" spans="1:10" x14ac:dyDescent="0.3">
      <c r="A15" s="12">
        <v>0.36</v>
      </c>
      <c r="B15">
        <v>587</v>
      </c>
    </row>
    <row r="16" spans="1:10" x14ac:dyDescent="0.3">
      <c r="A16" s="12">
        <v>0.37</v>
      </c>
      <c r="B16">
        <v>1225</v>
      </c>
    </row>
    <row r="17" spans="1:2" x14ac:dyDescent="0.3">
      <c r="A17" s="12">
        <v>0.38</v>
      </c>
      <c r="B17">
        <v>1325</v>
      </c>
    </row>
    <row r="18" spans="1:2" x14ac:dyDescent="0.3">
      <c r="A18" s="12">
        <v>0.39</v>
      </c>
      <c r="B18">
        <v>426</v>
      </c>
    </row>
    <row r="19" spans="1:2" x14ac:dyDescent="0.3">
      <c r="A19" s="12">
        <v>0.4</v>
      </c>
      <c r="B19">
        <v>1636</v>
      </c>
    </row>
    <row r="20" spans="1:2" x14ac:dyDescent="0.3">
      <c r="A20" s="12">
        <v>0.41</v>
      </c>
      <c r="B20">
        <v>927</v>
      </c>
    </row>
    <row r="21" spans="1:2" x14ac:dyDescent="0.3">
      <c r="A21" s="12">
        <v>0.42</v>
      </c>
      <c r="B21">
        <v>480</v>
      </c>
    </row>
    <row r="22" spans="1:2" x14ac:dyDescent="0.3">
      <c r="A22" s="12">
        <v>0.43</v>
      </c>
      <c r="B22">
        <v>610</v>
      </c>
    </row>
    <row r="23" spans="1:2" x14ac:dyDescent="0.3">
      <c r="A23" s="12">
        <v>0.44</v>
      </c>
      <c r="B23">
        <v>621</v>
      </c>
    </row>
    <row r="24" spans="1:2" x14ac:dyDescent="0.3">
      <c r="A24" s="12">
        <v>0.45</v>
      </c>
      <c r="B24">
        <v>795</v>
      </c>
    </row>
    <row r="25" spans="1:2" x14ac:dyDescent="0.3">
      <c r="A25" s="12">
        <v>0.46</v>
      </c>
      <c r="B25">
        <v>379</v>
      </c>
    </row>
    <row r="26" spans="1:2" x14ac:dyDescent="0.3">
      <c r="A26" s="12">
        <v>0.47</v>
      </c>
      <c r="B26">
        <v>2469</v>
      </c>
    </row>
    <row r="27" spans="1:2" x14ac:dyDescent="0.3">
      <c r="A27" s="12">
        <v>0.48</v>
      </c>
      <c r="B27">
        <v>816</v>
      </c>
    </row>
    <row r="28" spans="1:2" x14ac:dyDescent="0.3">
      <c r="A28" s="12">
        <v>0.49</v>
      </c>
      <c r="B28">
        <v>988</v>
      </c>
    </row>
    <row r="29" spans="1:2" x14ac:dyDescent="0.3">
      <c r="A29" s="12">
        <v>0.5</v>
      </c>
      <c r="B29">
        <v>1491</v>
      </c>
    </row>
    <row r="30" spans="1:2" x14ac:dyDescent="0.3">
      <c r="A30" s="12">
        <v>0.51</v>
      </c>
      <c r="B30">
        <v>1996</v>
      </c>
    </row>
    <row r="31" spans="1:2" x14ac:dyDescent="0.3">
      <c r="A31" s="12">
        <v>0.52</v>
      </c>
      <c r="B31">
        <v>358</v>
      </c>
    </row>
    <row r="32" spans="1:2" x14ac:dyDescent="0.3">
      <c r="A32" s="12">
        <v>0.53</v>
      </c>
      <c r="B32">
        <v>8</v>
      </c>
    </row>
    <row r="33" spans="1:2" x14ac:dyDescent="0.3">
      <c r="A33" s="12">
        <v>0.54</v>
      </c>
      <c r="B33">
        <v>354</v>
      </c>
    </row>
    <row r="34" spans="1:2" x14ac:dyDescent="0.3">
      <c r="A34" s="12">
        <v>0.55000000000000004</v>
      </c>
      <c r="B34">
        <v>1464</v>
      </c>
    </row>
    <row r="35" spans="1:2" x14ac:dyDescent="0.3">
      <c r="A35" s="12">
        <v>0.56000000000000005</v>
      </c>
      <c r="B35">
        <v>740</v>
      </c>
    </row>
    <row r="36" spans="1:2" x14ac:dyDescent="0.3">
      <c r="A36" s="12">
        <v>0.56999999999999995</v>
      </c>
      <c r="B36">
        <v>446</v>
      </c>
    </row>
    <row r="37" spans="1:2" x14ac:dyDescent="0.3">
      <c r="A37" s="12">
        <v>0.57999999999999996</v>
      </c>
      <c r="B37">
        <v>181</v>
      </c>
    </row>
    <row r="38" spans="1:2" x14ac:dyDescent="0.3">
      <c r="A38" s="12">
        <v>0.59</v>
      </c>
      <c r="B38">
        <v>1442</v>
      </c>
    </row>
    <row r="39" spans="1:2" x14ac:dyDescent="0.3">
      <c r="A39" s="12">
        <v>0.6</v>
      </c>
      <c r="B39">
        <v>345</v>
      </c>
    </row>
    <row r="40" spans="1:2" x14ac:dyDescent="0.3">
      <c r="A40" s="12">
        <v>0.61</v>
      </c>
      <c r="B40">
        <v>161</v>
      </c>
    </row>
    <row r="41" spans="1:2" x14ac:dyDescent="0.3">
      <c r="A41" s="12">
        <v>0.62</v>
      </c>
      <c r="B41">
        <v>120</v>
      </c>
    </row>
    <row r="42" spans="1:2" x14ac:dyDescent="0.3">
      <c r="A42" s="12">
        <v>0.63</v>
      </c>
      <c r="B42">
        <v>169</v>
      </c>
    </row>
    <row r="43" spans="1:2" x14ac:dyDescent="0.3">
      <c r="A43" s="12">
        <v>0.64</v>
      </c>
      <c r="B43">
        <v>559</v>
      </c>
    </row>
    <row r="44" spans="1:2" x14ac:dyDescent="0.3">
      <c r="A44" s="12">
        <v>0.65</v>
      </c>
      <c r="B44">
        <v>402</v>
      </c>
    </row>
    <row r="45" spans="1:2" x14ac:dyDescent="0.3">
      <c r="A45" s="12">
        <v>0.66</v>
      </c>
      <c r="B45">
        <v>168</v>
      </c>
    </row>
    <row r="46" spans="1:2" x14ac:dyDescent="0.3">
      <c r="A46" s="12">
        <v>0.68</v>
      </c>
      <c r="B46">
        <v>162</v>
      </c>
    </row>
    <row r="47" spans="1:2" x14ac:dyDescent="0.3">
      <c r="A47" s="12">
        <v>0.69</v>
      </c>
      <c r="B47">
        <v>945</v>
      </c>
    </row>
    <row r="48" spans="1:2" x14ac:dyDescent="0.3">
      <c r="A48" s="12">
        <v>0.7</v>
      </c>
      <c r="B48">
        <v>27</v>
      </c>
    </row>
    <row r="49" spans="1:2" x14ac:dyDescent="0.3">
      <c r="A49" s="12">
        <v>0.71</v>
      </c>
      <c r="B49">
        <v>154</v>
      </c>
    </row>
    <row r="50" spans="1:2" x14ac:dyDescent="0.3">
      <c r="A50" s="12">
        <v>0.72</v>
      </c>
      <c r="B50">
        <v>200</v>
      </c>
    </row>
    <row r="51" spans="1:2" x14ac:dyDescent="0.3">
      <c r="A51" s="12">
        <v>0.74</v>
      </c>
      <c r="B51">
        <v>740</v>
      </c>
    </row>
    <row r="52" spans="1:2" x14ac:dyDescent="0.3">
      <c r="A52" s="12">
        <v>0.75</v>
      </c>
      <c r="B52">
        <v>40</v>
      </c>
    </row>
    <row r="53" spans="1:2" x14ac:dyDescent="0.3">
      <c r="A53" s="12">
        <v>0.76</v>
      </c>
      <c r="B53">
        <v>130</v>
      </c>
    </row>
    <row r="54" spans="1:2" x14ac:dyDescent="0.3">
      <c r="A54" s="12">
        <v>0.77</v>
      </c>
      <c r="B54">
        <v>196</v>
      </c>
    </row>
    <row r="55" spans="1:2" x14ac:dyDescent="0.3">
      <c r="A55" s="12">
        <v>0.8</v>
      </c>
      <c r="B55">
        <v>577</v>
      </c>
    </row>
    <row r="56" spans="1:2" x14ac:dyDescent="0.3">
      <c r="A56" s="12">
        <v>0.81</v>
      </c>
      <c r="B56">
        <v>269</v>
      </c>
    </row>
    <row r="57" spans="1:2" x14ac:dyDescent="0.3">
      <c r="A57" s="12">
        <v>0.82</v>
      </c>
      <c r="B57">
        <v>285</v>
      </c>
    </row>
    <row r="58" spans="1:2" x14ac:dyDescent="0.3">
      <c r="A58" s="12">
        <v>0.86</v>
      </c>
      <c r="B58">
        <v>700</v>
      </c>
    </row>
    <row r="59" spans="1:2" x14ac:dyDescent="0.3">
      <c r="A59" s="12">
        <v>0.87</v>
      </c>
      <c r="B59">
        <v>462</v>
      </c>
    </row>
    <row r="60" spans="1:2" x14ac:dyDescent="0.3">
      <c r="A60" s="12">
        <v>0.88</v>
      </c>
      <c r="B60">
        <v>128</v>
      </c>
    </row>
    <row r="61" spans="1:2" x14ac:dyDescent="0.3">
      <c r="A61" s="12">
        <v>0.92</v>
      </c>
      <c r="B61">
        <v>90</v>
      </c>
    </row>
    <row r="62" spans="1:2" x14ac:dyDescent="0.3">
      <c r="A62" s="12">
        <v>0.93</v>
      </c>
      <c r="B62">
        <v>1186</v>
      </c>
    </row>
    <row r="63" spans="1:2" x14ac:dyDescent="0.3">
      <c r="A63" s="12">
        <v>0.94</v>
      </c>
      <c r="B63">
        <v>54</v>
      </c>
    </row>
    <row r="64" spans="1:2" x14ac:dyDescent="0.3">
      <c r="A64" s="12">
        <v>1</v>
      </c>
      <c r="B64">
        <v>9</v>
      </c>
    </row>
    <row r="65" spans="1:2" x14ac:dyDescent="0.3">
      <c r="A65" s="12" t="s">
        <v>18</v>
      </c>
    </row>
    <row r="66" spans="1:2" x14ac:dyDescent="0.3">
      <c r="A66" s="12" t="s">
        <v>15</v>
      </c>
      <c r="B66">
        <v>33898</v>
      </c>
    </row>
  </sheetData>
  <mergeCells count="1">
    <mergeCell ref="G2:J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4F5B-EBDC-4A9C-BD99-F3F995D74702}">
  <dimension ref="A3:K11"/>
  <sheetViews>
    <sheetView workbookViewId="0">
      <selection activeCell="G3" sqref="G3:K3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3" spans="1:11" ht="23.4" x14ac:dyDescent="0.45">
      <c r="A3" s="10" t="s">
        <v>5</v>
      </c>
      <c r="B3" t="s">
        <v>16</v>
      </c>
      <c r="G3" s="23" t="s">
        <v>29</v>
      </c>
      <c r="H3" s="24"/>
      <c r="I3" s="24"/>
      <c r="J3" s="24"/>
      <c r="K3" s="24"/>
    </row>
    <row r="4" spans="1:11" x14ac:dyDescent="0.3">
      <c r="A4" s="12">
        <v>0</v>
      </c>
      <c r="B4">
        <v>3813</v>
      </c>
    </row>
    <row r="5" spans="1:11" x14ac:dyDescent="0.3">
      <c r="A5" s="12">
        <v>1</v>
      </c>
      <c r="B5">
        <v>5086</v>
      </c>
    </row>
    <row r="6" spans="1:11" x14ac:dyDescent="0.3">
      <c r="A6" s="12">
        <v>2</v>
      </c>
      <c r="B6">
        <v>5493</v>
      </c>
    </row>
    <row r="7" spans="1:11" x14ac:dyDescent="0.3">
      <c r="A7" s="12">
        <v>3</v>
      </c>
      <c r="B7">
        <v>4918</v>
      </c>
    </row>
    <row r="8" spans="1:11" x14ac:dyDescent="0.3">
      <c r="A8" s="12">
        <v>4</v>
      </c>
      <c r="B8">
        <v>5370</v>
      </c>
    </row>
    <row r="9" spans="1:11" x14ac:dyDescent="0.3">
      <c r="A9" s="12">
        <v>5</v>
      </c>
      <c r="B9">
        <v>5045</v>
      </c>
    </row>
    <row r="10" spans="1:11" x14ac:dyDescent="0.3">
      <c r="A10" s="12">
        <v>6</v>
      </c>
      <c r="B10">
        <v>4173</v>
      </c>
    </row>
    <row r="11" spans="1:11" x14ac:dyDescent="0.3">
      <c r="A11" s="12" t="s">
        <v>15</v>
      </c>
      <c r="B11">
        <v>33898</v>
      </c>
    </row>
  </sheetData>
  <mergeCells count="1">
    <mergeCell ref="G3:K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C85D-B3A3-4AE7-B4A8-EED2764AB0D2}">
  <dimension ref="A1:I28"/>
  <sheetViews>
    <sheetView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10.109375" bestFit="1" customWidth="1"/>
    <col min="9" max="9" width="17.5546875" customWidth="1"/>
  </cols>
  <sheetData>
    <row r="1" spans="1:9" x14ac:dyDescent="0.3">
      <c r="A1" s="10" t="s">
        <v>14</v>
      </c>
      <c r="B1" t="s">
        <v>30</v>
      </c>
    </row>
    <row r="3" spans="1:9" ht="21" x14ac:dyDescent="0.4">
      <c r="A3" s="10" t="s">
        <v>3</v>
      </c>
      <c r="B3" t="s">
        <v>16</v>
      </c>
      <c r="H3" s="19" t="s">
        <v>31</v>
      </c>
      <c r="I3" s="19"/>
    </row>
    <row r="4" spans="1:9" x14ac:dyDescent="0.3">
      <c r="A4" s="12">
        <v>0</v>
      </c>
      <c r="B4">
        <v>370</v>
      </c>
    </row>
    <row r="5" spans="1:9" x14ac:dyDescent="0.3">
      <c r="A5" s="12">
        <v>1</v>
      </c>
      <c r="B5">
        <v>239</v>
      </c>
    </row>
    <row r="6" spans="1:9" x14ac:dyDescent="0.3">
      <c r="A6" s="12">
        <v>2</v>
      </c>
      <c r="B6">
        <v>170</v>
      </c>
    </row>
    <row r="7" spans="1:9" x14ac:dyDescent="0.3">
      <c r="A7" s="12">
        <v>3</v>
      </c>
      <c r="B7">
        <v>76</v>
      </c>
    </row>
    <row r="8" spans="1:9" x14ac:dyDescent="0.3">
      <c r="A8" s="12">
        <v>4</v>
      </c>
      <c r="B8">
        <v>38</v>
      </c>
    </row>
    <row r="9" spans="1:9" x14ac:dyDescent="0.3">
      <c r="A9" s="12">
        <v>5</v>
      </c>
      <c r="B9">
        <v>95</v>
      </c>
    </row>
    <row r="10" spans="1:9" x14ac:dyDescent="0.3">
      <c r="A10" s="12">
        <v>6</v>
      </c>
      <c r="B10">
        <v>476</v>
      </c>
    </row>
    <row r="11" spans="1:9" x14ac:dyDescent="0.3">
      <c r="A11" s="12">
        <v>7</v>
      </c>
      <c r="B11">
        <v>1393</v>
      </c>
    </row>
    <row r="12" spans="1:9" x14ac:dyDescent="0.3">
      <c r="A12" s="12">
        <v>8</v>
      </c>
      <c r="B12">
        <v>3318</v>
      </c>
    </row>
    <row r="13" spans="1:9" x14ac:dyDescent="0.3">
      <c r="A13" s="12">
        <v>9</v>
      </c>
      <c r="B13">
        <v>2196</v>
      </c>
    </row>
    <row r="14" spans="1:9" x14ac:dyDescent="0.3">
      <c r="A14" s="12">
        <v>10</v>
      </c>
      <c r="B14">
        <v>1301</v>
      </c>
    </row>
    <row r="15" spans="1:9" x14ac:dyDescent="0.3">
      <c r="A15" s="12">
        <v>11</v>
      </c>
      <c r="B15">
        <v>1455</v>
      </c>
    </row>
    <row r="16" spans="1:9" x14ac:dyDescent="0.3">
      <c r="A16" s="12">
        <v>12</v>
      </c>
      <c r="B16">
        <v>1936</v>
      </c>
    </row>
    <row r="17" spans="1:2" x14ac:dyDescent="0.3">
      <c r="A17" s="12">
        <v>13</v>
      </c>
      <c r="B17">
        <v>2015</v>
      </c>
    </row>
    <row r="18" spans="1:2" x14ac:dyDescent="0.3">
      <c r="A18" s="12">
        <v>14</v>
      </c>
      <c r="B18">
        <v>1827</v>
      </c>
    </row>
    <row r="19" spans="1:2" x14ac:dyDescent="0.3">
      <c r="A19" s="12">
        <v>15</v>
      </c>
      <c r="B19">
        <v>1934</v>
      </c>
    </row>
    <row r="20" spans="1:2" x14ac:dyDescent="0.3">
      <c r="A20" s="12">
        <v>16</v>
      </c>
      <c r="B20">
        <v>2200</v>
      </c>
    </row>
    <row r="21" spans="1:2" x14ac:dyDescent="0.3">
      <c r="A21" s="12">
        <v>17</v>
      </c>
      <c r="B21">
        <v>3550</v>
      </c>
    </row>
    <row r="22" spans="1:2" x14ac:dyDescent="0.3">
      <c r="A22" s="12">
        <v>18</v>
      </c>
      <c r="B22">
        <v>3082</v>
      </c>
    </row>
    <row r="23" spans="1:2" x14ac:dyDescent="0.3">
      <c r="A23" s="12">
        <v>19</v>
      </c>
      <c r="B23">
        <v>2213</v>
      </c>
    </row>
    <row r="24" spans="1:2" x14ac:dyDescent="0.3">
      <c r="A24" s="12">
        <v>20</v>
      </c>
      <c r="B24">
        <v>1541</v>
      </c>
    </row>
    <row r="25" spans="1:2" x14ac:dyDescent="0.3">
      <c r="A25" s="12">
        <v>21</v>
      </c>
      <c r="B25">
        <v>1075</v>
      </c>
    </row>
    <row r="26" spans="1:2" x14ac:dyDescent="0.3">
      <c r="A26" s="12">
        <v>22</v>
      </c>
      <c r="B26">
        <v>838</v>
      </c>
    </row>
    <row r="27" spans="1:2" x14ac:dyDescent="0.3">
      <c r="A27" s="12">
        <v>23</v>
      </c>
      <c r="B27">
        <v>560</v>
      </c>
    </row>
    <row r="28" spans="1:2" x14ac:dyDescent="0.3">
      <c r="A28" s="12" t="s">
        <v>15</v>
      </c>
      <c r="B28">
        <v>33898</v>
      </c>
    </row>
  </sheetData>
  <mergeCells count="1">
    <mergeCell ref="H3:I3"/>
  </mergeCells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1"/>
  <sheetViews>
    <sheetView workbookViewId="0">
      <pane ySplit="1" topLeftCell="A587" activePane="bottomLeft" state="frozen"/>
      <selection pane="bottomLeft" activeCell="L603" sqref="L603"/>
    </sheetView>
  </sheetViews>
  <sheetFormatPr defaultRowHeight="14.4" x14ac:dyDescent="0.3"/>
  <cols>
    <col min="2" max="2" width="9.88671875" customWidth="1"/>
    <col min="3" max="3" width="11.109375" customWidth="1"/>
    <col min="5" max="5" width="14.33203125" customWidth="1"/>
    <col min="6" max="6" width="14.6640625" customWidth="1"/>
    <col min="7" max="7" width="15.33203125" customWidth="1"/>
    <col min="8" max="8" width="11.6640625" customWidth="1"/>
    <col min="9" max="9" width="16.33203125" customWidth="1"/>
    <col min="10" max="10" width="15.5546875" customWidth="1"/>
    <col min="11" max="11" width="12.109375" style="9" customWidth="1"/>
    <col min="12" max="12" width="15.88671875" style="8" customWidth="1"/>
    <col min="13" max="13" width="11.5546875" style="8" customWidth="1"/>
    <col min="14" max="14" width="13.6640625" style="8" customWidth="1"/>
    <col min="15" max="15" width="8.88671875" style="9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6" t="s">
        <v>14</v>
      </c>
    </row>
    <row r="2" spans="1:15" x14ac:dyDescent="0.3">
      <c r="A2" s="4">
        <v>1</v>
      </c>
      <c r="B2" s="5">
        <v>40544</v>
      </c>
      <c r="C2" s="4">
        <v>1</v>
      </c>
      <c r="D2" s="4">
        <v>0</v>
      </c>
      <c r="E2" s="4" t="b">
        <v>0</v>
      </c>
      <c r="F2" s="4">
        <v>6</v>
      </c>
      <c r="G2" s="4">
        <v>1</v>
      </c>
      <c r="H2" s="4">
        <v>0.24</v>
      </c>
      <c r="I2">
        <f>VLOOKUP(A2,[1]Datasheet_2!$A$2:$H$611,2,FALSE)</f>
        <v>0</v>
      </c>
      <c r="J2">
        <f>VLOOKUP(A2,[1]Datasheet_2!$A$2:$H$611,3,FALSE)</f>
        <v>0.28789999999999999</v>
      </c>
      <c r="K2" s="9">
        <f>VLOOKUP(A2,[1]Datasheet_2!$A$2:$H$611,4,FALSE)</f>
        <v>0.81</v>
      </c>
      <c r="L2" s="8">
        <f>VLOOKUP(A2,[1]Datasheet_2!$A$2:$H$611,5,FALSE)</f>
        <v>0</v>
      </c>
      <c r="M2" s="8">
        <f>VLOOKUP(A2,[1]Datasheet_2!$A$2:$H$611,6,FALSE)</f>
        <v>3</v>
      </c>
      <c r="N2" s="8">
        <f>VLOOKUP(A2,[1]Datasheet_2!$A$2:$H$611,7,FALSE)</f>
        <v>13</v>
      </c>
      <c r="O2" s="9">
        <f>VLOOKUP(A2,[1]Datasheet_2!$A$2:$H$611,8,FALSE)</f>
        <v>16</v>
      </c>
    </row>
    <row r="3" spans="1:15" x14ac:dyDescent="0.3">
      <c r="A3" s="4">
        <v>2</v>
      </c>
      <c r="B3" s="5">
        <v>40544</v>
      </c>
      <c r="C3" s="4">
        <v>1</v>
      </c>
      <c r="D3" s="4">
        <v>1</v>
      </c>
      <c r="E3" s="4" t="b">
        <v>0</v>
      </c>
      <c r="F3" s="4">
        <v>6</v>
      </c>
      <c r="G3" s="4">
        <v>1</v>
      </c>
      <c r="H3" s="4">
        <v>0.22</v>
      </c>
      <c r="I3">
        <f>VLOOKUP(A3,[1]Datasheet_2!$A$2:$H$611,2,FALSE)</f>
        <v>1</v>
      </c>
      <c r="J3">
        <f>VLOOKUP(A3,[1]Datasheet_2!$A$2:$H$611,3,FALSE)</f>
        <v>0.2727</v>
      </c>
      <c r="K3" s="9">
        <f>VLOOKUP(A3,[1]Datasheet_2!$A$2:$H$611,4,FALSE)</f>
        <v>0.8</v>
      </c>
      <c r="L3" s="8">
        <f>VLOOKUP(A3,[1]Datasheet_2!$A$2:$H$611,5,FALSE)</f>
        <v>0</v>
      </c>
      <c r="M3" s="8">
        <f>VLOOKUP(A3,[1]Datasheet_2!$A$2:$H$611,6,FALSE)</f>
        <v>8</v>
      </c>
      <c r="N3" s="8">
        <f>VLOOKUP(A3,[1]Datasheet_2!$A$2:$H$611,7,FALSE)</f>
        <v>32</v>
      </c>
      <c r="O3" s="9">
        <f>VLOOKUP(A3,[1]Datasheet_2!$A$2:$H$611,8,FALSE)</f>
        <v>40</v>
      </c>
    </row>
    <row r="4" spans="1:15" x14ac:dyDescent="0.3">
      <c r="A4" s="4">
        <v>3</v>
      </c>
      <c r="B4" s="5">
        <v>40544</v>
      </c>
      <c r="C4" s="4">
        <v>1</v>
      </c>
      <c r="D4" s="4">
        <v>2</v>
      </c>
      <c r="E4" s="4" t="b">
        <v>0</v>
      </c>
      <c r="F4" s="4">
        <v>6</v>
      </c>
      <c r="G4" s="4">
        <v>1</v>
      </c>
      <c r="H4" s="4">
        <v>0.22</v>
      </c>
      <c r="I4">
        <f>VLOOKUP(A4,[1]Datasheet_2!$A$2:$H$611,2,FALSE)</f>
        <v>2</v>
      </c>
      <c r="J4">
        <f>VLOOKUP(A4,[1]Datasheet_2!$A$2:$H$611,3,FALSE)</f>
        <v>0.2727</v>
      </c>
      <c r="K4" s="9">
        <f>VLOOKUP(A4,[1]Datasheet_2!$A$2:$H$611,4,FALSE)</f>
        <v>0.8</v>
      </c>
      <c r="L4" s="8">
        <f>VLOOKUP(A4,[1]Datasheet_2!$A$2:$H$611,5,FALSE)</f>
        <v>0</v>
      </c>
      <c r="M4" s="8">
        <f>VLOOKUP(A4,[1]Datasheet_2!$A$2:$H$611,6,FALSE)</f>
        <v>5</v>
      </c>
      <c r="N4" s="8">
        <f>VLOOKUP(A4,[1]Datasheet_2!$A$2:$H$611,7,FALSE)</f>
        <v>27</v>
      </c>
      <c r="O4" s="9">
        <f>VLOOKUP(A4,[1]Datasheet_2!$A$2:$H$611,8,FALSE)</f>
        <v>32</v>
      </c>
    </row>
    <row r="5" spans="1:15" x14ac:dyDescent="0.3">
      <c r="A5" s="4">
        <v>4</v>
      </c>
      <c r="B5" s="5">
        <v>40544</v>
      </c>
      <c r="C5" s="4">
        <v>1</v>
      </c>
      <c r="D5" s="4">
        <v>3</v>
      </c>
      <c r="E5" s="4" t="b">
        <v>0</v>
      </c>
      <c r="F5" s="4">
        <v>6</v>
      </c>
      <c r="G5" s="4">
        <v>1</v>
      </c>
      <c r="H5" s="4">
        <v>0.24</v>
      </c>
      <c r="I5">
        <f>VLOOKUP(A5,[1]Datasheet_2!$A$2:$H$611,2,FALSE)</f>
        <v>3</v>
      </c>
      <c r="J5">
        <f>VLOOKUP(A5,[1]Datasheet_2!$A$2:$H$611,3,FALSE)</f>
        <v>0.28789999999999999</v>
      </c>
      <c r="K5" s="9">
        <f>VLOOKUP(A5,[1]Datasheet_2!$A$2:$H$611,4,FALSE)</f>
        <v>0.75</v>
      </c>
      <c r="L5" s="8">
        <f>VLOOKUP(A5,[1]Datasheet_2!$A$2:$H$611,5,FALSE)</f>
        <v>0</v>
      </c>
      <c r="M5" s="8">
        <f>VLOOKUP(A5,[1]Datasheet_2!$A$2:$H$611,6,FALSE)</f>
        <v>3</v>
      </c>
      <c r="N5" s="8">
        <f>VLOOKUP(A5,[1]Datasheet_2!$A$2:$H$611,7,FALSE)</f>
        <v>10</v>
      </c>
      <c r="O5" s="9">
        <f>VLOOKUP(A5,[1]Datasheet_2!$A$2:$H$611,8,FALSE)</f>
        <v>13</v>
      </c>
    </row>
    <row r="6" spans="1:15" x14ac:dyDescent="0.3">
      <c r="A6" s="4">
        <v>5</v>
      </c>
      <c r="B6" s="5">
        <v>40544</v>
      </c>
      <c r="C6" s="4">
        <v>1</v>
      </c>
      <c r="D6" s="4">
        <v>4</v>
      </c>
      <c r="E6" s="4" t="b">
        <v>0</v>
      </c>
      <c r="F6" s="4">
        <v>6</v>
      </c>
      <c r="G6" s="4">
        <v>1</v>
      </c>
      <c r="H6" s="4">
        <v>0.24</v>
      </c>
      <c r="I6">
        <f>VLOOKUP(A6,[1]Datasheet_2!$A$2:$H$611,2,FALSE)</f>
        <v>4</v>
      </c>
      <c r="J6">
        <f>VLOOKUP(A6,[1]Datasheet_2!$A$2:$H$611,3,FALSE)</f>
        <v>0.28789999999999999</v>
      </c>
      <c r="K6" s="9">
        <f>VLOOKUP(A6,[1]Datasheet_2!$A$2:$H$611,4,FALSE)</f>
        <v>0.75</v>
      </c>
      <c r="L6" s="8">
        <f>VLOOKUP(A6,[1]Datasheet_2!$A$2:$H$611,5,FALSE)</f>
        <v>0</v>
      </c>
      <c r="M6" s="8">
        <f>VLOOKUP(A6,[1]Datasheet_2!$A$2:$H$611,6,FALSE)</f>
        <v>0</v>
      </c>
      <c r="N6" s="8">
        <f>VLOOKUP(A6,[1]Datasheet_2!$A$2:$H$611,7,FALSE)</f>
        <v>1</v>
      </c>
      <c r="O6" s="9">
        <f>VLOOKUP(A6,[1]Datasheet_2!$A$2:$H$611,8,FALSE)</f>
        <v>1</v>
      </c>
    </row>
    <row r="7" spans="1:15" x14ac:dyDescent="0.3">
      <c r="A7" s="4">
        <v>6</v>
      </c>
      <c r="B7" s="5">
        <v>40544</v>
      </c>
      <c r="C7" s="4">
        <v>1</v>
      </c>
      <c r="D7" s="4">
        <v>5</v>
      </c>
      <c r="E7" s="4" t="b">
        <v>0</v>
      </c>
      <c r="F7" s="4">
        <v>6</v>
      </c>
      <c r="G7" s="4">
        <v>2</v>
      </c>
      <c r="H7" s="4">
        <v>0.24</v>
      </c>
      <c r="I7">
        <f>VLOOKUP(A7,[1]Datasheet_2!$A$2:$H$611,2,FALSE)</f>
        <v>5</v>
      </c>
      <c r="J7">
        <f>VLOOKUP(A7,[1]Datasheet_2!$A$2:$H$611,3,FALSE)</f>
        <v>0.2576</v>
      </c>
      <c r="K7" s="9">
        <f>VLOOKUP(A7,[1]Datasheet_2!$A$2:$H$611,4,FALSE)</f>
        <v>0.75</v>
      </c>
      <c r="L7" s="8">
        <f>VLOOKUP(A7,[1]Datasheet_2!$A$2:$H$611,5,FALSE)</f>
        <v>8.9599999999999999E-2</v>
      </c>
      <c r="M7" s="8">
        <f>VLOOKUP(A7,[1]Datasheet_2!$A$2:$H$611,6,FALSE)</f>
        <v>0</v>
      </c>
      <c r="N7" s="8">
        <f>VLOOKUP(A7,[1]Datasheet_2!$A$2:$H$611,7,FALSE)</f>
        <v>1</v>
      </c>
      <c r="O7" s="9">
        <f>VLOOKUP(A7,[1]Datasheet_2!$A$2:$H$611,8,FALSE)</f>
        <v>1</v>
      </c>
    </row>
    <row r="8" spans="1:15" x14ac:dyDescent="0.3">
      <c r="A8" s="4">
        <v>7</v>
      </c>
      <c r="B8" s="5">
        <v>40544</v>
      </c>
      <c r="C8" s="4">
        <v>1</v>
      </c>
      <c r="D8" s="4">
        <v>6</v>
      </c>
      <c r="E8" s="4" t="b">
        <v>0</v>
      </c>
      <c r="F8" s="4">
        <v>6</v>
      </c>
      <c r="G8" s="4">
        <v>1</v>
      </c>
      <c r="H8" s="4">
        <v>0.22</v>
      </c>
      <c r="I8">
        <f>VLOOKUP(A8,[1]Datasheet_2!$A$2:$H$611,2,FALSE)</f>
        <v>6</v>
      </c>
      <c r="J8">
        <f>VLOOKUP(A8,[1]Datasheet_2!$A$2:$H$611,3,FALSE)</f>
        <v>0.2727</v>
      </c>
      <c r="K8" s="9">
        <f>VLOOKUP(A8,[1]Datasheet_2!$A$2:$H$611,4,FALSE)</f>
        <v>0.8</v>
      </c>
      <c r="L8" s="8">
        <f>VLOOKUP(A8,[1]Datasheet_2!$A$2:$H$611,5,FALSE)</f>
        <v>0</v>
      </c>
      <c r="M8" s="8">
        <f>VLOOKUP(A8,[1]Datasheet_2!$A$2:$H$611,6,FALSE)</f>
        <v>2</v>
      </c>
      <c r="N8" s="8">
        <f>VLOOKUP(A8,[1]Datasheet_2!$A$2:$H$611,7,FALSE)</f>
        <v>0</v>
      </c>
      <c r="O8" s="9">
        <f>VLOOKUP(A8,[1]Datasheet_2!$A$2:$H$611,8,FALSE)</f>
        <v>2</v>
      </c>
    </row>
    <row r="9" spans="1:15" x14ac:dyDescent="0.3">
      <c r="A9" s="4">
        <v>8</v>
      </c>
      <c r="B9" s="5">
        <v>40544</v>
      </c>
      <c r="C9" s="4">
        <v>1</v>
      </c>
      <c r="D9" s="4">
        <v>7</v>
      </c>
      <c r="E9" s="4" t="b">
        <v>0</v>
      </c>
      <c r="F9" s="4">
        <v>6</v>
      </c>
      <c r="G9" s="4">
        <v>1</v>
      </c>
      <c r="H9" s="4">
        <v>0.2</v>
      </c>
      <c r="I9">
        <f>VLOOKUP(A9,[1]Datasheet_2!$A$2:$H$611,2,FALSE)</f>
        <v>7</v>
      </c>
      <c r="J9">
        <f>VLOOKUP(A9,[1]Datasheet_2!$A$2:$H$611,3,FALSE)</f>
        <v>0.2576</v>
      </c>
      <c r="K9" s="9">
        <f>VLOOKUP(A9,[1]Datasheet_2!$A$2:$H$611,4,FALSE)</f>
        <v>0.86</v>
      </c>
      <c r="L9" s="8">
        <f>VLOOKUP(A9,[1]Datasheet_2!$A$2:$H$611,5,FALSE)</f>
        <v>0</v>
      </c>
      <c r="M9" s="8">
        <f>VLOOKUP(A9,[1]Datasheet_2!$A$2:$H$611,6,FALSE)</f>
        <v>1</v>
      </c>
      <c r="N9" s="8">
        <f>VLOOKUP(A9,[1]Datasheet_2!$A$2:$H$611,7,FALSE)</f>
        <v>2</v>
      </c>
      <c r="O9" s="9">
        <f>VLOOKUP(A9,[1]Datasheet_2!$A$2:$H$611,8,FALSE)</f>
        <v>3</v>
      </c>
    </row>
    <row r="10" spans="1:15" x14ac:dyDescent="0.3">
      <c r="A10" s="4">
        <v>9</v>
      </c>
      <c r="B10" s="5">
        <v>40544</v>
      </c>
      <c r="C10" s="4">
        <v>1</v>
      </c>
      <c r="D10" s="4">
        <v>8</v>
      </c>
      <c r="E10" s="4" t="b">
        <v>0</v>
      </c>
      <c r="F10" s="4">
        <v>6</v>
      </c>
      <c r="G10" s="4">
        <v>1</v>
      </c>
      <c r="H10" s="4">
        <v>0.24</v>
      </c>
      <c r="I10">
        <f>VLOOKUP(A10,[1]Datasheet_2!$A$2:$H$611,2,FALSE)</f>
        <v>8</v>
      </c>
      <c r="J10">
        <f>VLOOKUP(A10,[1]Datasheet_2!$A$2:$H$611,3,FALSE)</f>
        <v>0.19989999999999999</v>
      </c>
      <c r="K10" s="9">
        <f>VLOOKUP(A10,[1]Datasheet_2!$A$2:$H$611,4,FALSE)</f>
        <v>0.75</v>
      </c>
      <c r="L10" s="8">
        <f>VLOOKUP(A10,[1]Datasheet_2!$A$2:$H$611,5,FALSE)</f>
        <v>0</v>
      </c>
      <c r="M10" s="8">
        <f>VLOOKUP(A10,[1]Datasheet_2!$A$2:$H$611,6,FALSE)</f>
        <v>1</v>
      </c>
      <c r="N10" s="8">
        <f>VLOOKUP(A10,[1]Datasheet_2!$A$2:$H$611,7,FALSE)</f>
        <v>7</v>
      </c>
      <c r="O10" s="9">
        <f>VLOOKUP(A10,[1]Datasheet_2!$A$2:$H$611,8,FALSE)</f>
        <v>8</v>
      </c>
    </row>
    <row r="11" spans="1:15" x14ac:dyDescent="0.3">
      <c r="A11" s="4">
        <v>10</v>
      </c>
      <c r="B11" s="5">
        <v>40544</v>
      </c>
      <c r="C11" s="4">
        <v>1</v>
      </c>
      <c r="D11" s="4">
        <v>9</v>
      </c>
      <c r="E11" s="4" t="b">
        <v>0</v>
      </c>
      <c r="F11" s="4">
        <v>6</v>
      </c>
      <c r="G11" s="4">
        <v>1</v>
      </c>
      <c r="H11" s="4">
        <v>0.32</v>
      </c>
      <c r="I11">
        <f>VLOOKUP(A11,[1]Datasheet_2!$A$2:$H$611,2,FALSE)</f>
        <v>9</v>
      </c>
      <c r="J11">
        <f>VLOOKUP(A11,[1]Datasheet_2!$A$2:$H$611,3,FALSE)</f>
        <v>0.34849999999999998</v>
      </c>
      <c r="K11" s="9">
        <f>VLOOKUP(A11,[1]Datasheet_2!$A$2:$H$611,4,FALSE)</f>
        <v>0.76</v>
      </c>
      <c r="L11" s="8">
        <f>VLOOKUP(A11,[1]Datasheet_2!$A$2:$H$611,5,FALSE)</f>
        <v>0</v>
      </c>
      <c r="M11" s="8">
        <f>VLOOKUP(A11,[1]Datasheet_2!$A$2:$H$611,6,FALSE)</f>
        <v>8</v>
      </c>
      <c r="N11" s="8">
        <f>VLOOKUP(A11,[1]Datasheet_2!$A$2:$H$611,7,FALSE)</f>
        <v>6</v>
      </c>
      <c r="O11" s="9">
        <f>VLOOKUP(A11,[1]Datasheet_2!$A$2:$H$611,8,FALSE)</f>
        <v>14</v>
      </c>
    </row>
    <row r="12" spans="1:15" x14ac:dyDescent="0.3">
      <c r="A12" s="4">
        <v>11</v>
      </c>
      <c r="B12" s="5">
        <v>40544</v>
      </c>
      <c r="C12" s="4">
        <v>1</v>
      </c>
      <c r="D12" s="4">
        <v>10</v>
      </c>
      <c r="E12" s="4" t="b">
        <v>0</v>
      </c>
      <c r="F12" s="4">
        <v>6</v>
      </c>
      <c r="G12" s="4">
        <v>1</v>
      </c>
      <c r="H12" s="4">
        <v>0.38</v>
      </c>
      <c r="I12">
        <f>VLOOKUP(A12,[1]Datasheet_2!$A$2:$H$611,2,FALSE)</f>
        <v>10</v>
      </c>
      <c r="J12">
        <f>VLOOKUP(A12,[1]Datasheet_2!$A$2:$H$611,3,FALSE)</f>
        <v>0.39389999999999997</v>
      </c>
      <c r="K12" s="9">
        <f>VLOOKUP(A12,[1]Datasheet_2!$A$2:$H$611,4,FALSE)</f>
        <v>0.76</v>
      </c>
      <c r="L12" s="8">
        <f>VLOOKUP(A12,[1]Datasheet_2!$A$2:$H$611,5,FALSE)</f>
        <v>0.25369999999999998</v>
      </c>
      <c r="M12" s="8">
        <f>VLOOKUP(A12,[1]Datasheet_2!$A$2:$H$611,6,FALSE)</f>
        <v>12</v>
      </c>
      <c r="N12" s="8">
        <f>VLOOKUP(A12,[1]Datasheet_2!$A$2:$H$611,7,FALSE)</f>
        <v>24</v>
      </c>
      <c r="O12" s="9">
        <f>VLOOKUP(A12,[1]Datasheet_2!$A$2:$H$611,8,FALSE)</f>
        <v>36</v>
      </c>
    </row>
    <row r="13" spans="1:15" x14ac:dyDescent="0.3">
      <c r="A13" s="4">
        <v>12</v>
      </c>
      <c r="B13" s="5">
        <v>40544</v>
      </c>
      <c r="C13" s="4">
        <v>1</v>
      </c>
      <c r="D13" s="4">
        <v>11</v>
      </c>
      <c r="E13" s="4" t="b">
        <v>0</v>
      </c>
      <c r="F13" s="4">
        <v>6</v>
      </c>
      <c r="G13" s="4">
        <v>1</v>
      </c>
      <c r="H13" s="4">
        <v>0.36</v>
      </c>
      <c r="I13">
        <f>VLOOKUP(A13,[1]Datasheet_2!$A$2:$H$611,2,FALSE)</f>
        <v>11</v>
      </c>
      <c r="J13">
        <f>VLOOKUP(A13,[1]Datasheet_2!$A$2:$H$611,3,FALSE)</f>
        <v>0.33329999999999999</v>
      </c>
      <c r="K13" s="9">
        <f>VLOOKUP(A13,[1]Datasheet_2!$A$2:$H$611,4,FALSE)</f>
        <v>0.81</v>
      </c>
      <c r="L13" s="8">
        <f>VLOOKUP(A13,[1]Datasheet_2!$A$2:$H$611,5,FALSE)</f>
        <v>0.28360000000000002</v>
      </c>
      <c r="M13" s="8">
        <f>VLOOKUP(A13,[1]Datasheet_2!$A$2:$H$611,6,FALSE)</f>
        <v>26</v>
      </c>
      <c r="N13" s="8">
        <f>VLOOKUP(A13,[1]Datasheet_2!$A$2:$H$611,7,FALSE)</f>
        <v>30</v>
      </c>
      <c r="O13" s="9">
        <f>VLOOKUP(A13,[1]Datasheet_2!$A$2:$H$611,8,FALSE)</f>
        <v>56</v>
      </c>
    </row>
    <row r="14" spans="1:15" x14ac:dyDescent="0.3">
      <c r="A14" s="4">
        <v>13</v>
      </c>
      <c r="B14" s="5">
        <v>40544</v>
      </c>
      <c r="C14" s="4">
        <v>1</v>
      </c>
      <c r="D14" s="4">
        <v>12</v>
      </c>
      <c r="E14" s="4" t="b">
        <v>0</v>
      </c>
      <c r="F14" s="4">
        <v>6</v>
      </c>
      <c r="G14" s="4">
        <v>1</v>
      </c>
      <c r="H14" s="4">
        <v>0.42</v>
      </c>
      <c r="I14">
        <f>VLOOKUP(A14,[1]Datasheet_2!$A$2:$H$611,2,FALSE)</f>
        <v>12</v>
      </c>
      <c r="J14">
        <f>VLOOKUP(A14,[1]Datasheet_2!$A$2:$H$611,3,FALSE)</f>
        <v>0.42420000000000002</v>
      </c>
      <c r="K14" s="9">
        <f>VLOOKUP(A14,[1]Datasheet_2!$A$2:$H$611,4,FALSE)</f>
        <v>0.77</v>
      </c>
      <c r="L14" s="8">
        <f>VLOOKUP(A14,[1]Datasheet_2!$A$2:$H$611,5,FALSE)</f>
        <v>0.28360000000000002</v>
      </c>
      <c r="M14" s="8">
        <f>VLOOKUP(A14,[1]Datasheet_2!$A$2:$H$611,6,FALSE)</f>
        <v>29</v>
      </c>
      <c r="N14" s="8">
        <f>VLOOKUP(A14,[1]Datasheet_2!$A$2:$H$611,7,FALSE)</f>
        <v>55</v>
      </c>
      <c r="O14" s="9">
        <f>VLOOKUP(A14,[1]Datasheet_2!$A$2:$H$611,8,FALSE)</f>
        <v>84</v>
      </c>
    </row>
    <row r="15" spans="1:15" x14ac:dyDescent="0.3">
      <c r="A15" s="4">
        <v>14</v>
      </c>
      <c r="B15" s="5">
        <v>40544</v>
      </c>
      <c r="C15" s="4">
        <v>1</v>
      </c>
      <c r="D15" s="4">
        <v>13</v>
      </c>
      <c r="E15" s="4" t="b">
        <v>0</v>
      </c>
      <c r="F15" s="4">
        <v>6</v>
      </c>
      <c r="G15" s="4">
        <v>2</v>
      </c>
      <c r="H15" s="4">
        <v>0.46</v>
      </c>
      <c r="I15">
        <f>VLOOKUP(A15,[1]Datasheet_2!$A$2:$H$611,2,FALSE)</f>
        <v>13</v>
      </c>
      <c r="J15">
        <f>VLOOKUP(A15,[1]Datasheet_2!$A$2:$H$611,3,FALSE)</f>
        <v>0.45450000000000002</v>
      </c>
      <c r="K15" s="9">
        <f>VLOOKUP(A15,[1]Datasheet_2!$A$2:$H$611,4,FALSE)</f>
        <v>0.72</v>
      </c>
      <c r="L15" s="8">
        <f>VLOOKUP(A15,[1]Datasheet_2!$A$2:$H$611,5,FALSE)</f>
        <v>0.29849999999999999</v>
      </c>
      <c r="M15" s="8">
        <f>VLOOKUP(A15,[1]Datasheet_2!$A$2:$H$611,6,FALSE)</f>
        <v>47</v>
      </c>
      <c r="N15" s="8">
        <f>VLOOKUP(A15,[1]Datasheet_2!$A$2:$H$611,7,FALSE)</f>
        <v>47</v>
      </c>
      <c r="O15" s="9">
        <f>VLOOKUP(A15,[1]Datasheet_2!$A$2:$H$611,8,FALSE)</f>
        <v>94</v>
      </c>
    </row>
    <row r="16" spans="1:15" x14ac:dyDescent="0.3">
      <c r="A16" s="4">
        <v>15</v>
      </c>
      <c r="B16" s="5">
        <v>40544</v>
      </c>
      <c r="C16" s="4">
        <v>1</v>
      </c>
      <c r="D16" s="4">
        <v>14</v>
      </c>
      <c r="E16" s="4" t="b">
        <v>0</v>
      </c>
      <c r="F16" s="4">
        <v>6</v>
      </c>
      <c r="G16" s="4">
        <v>2</v>
      </c>
      <c r="H16" s="4">
        <v>0.46</v>
      </c>
      <c r="I16">
        <f>VLOOKUP(A16,[1]Datasheet_2!$A$2:$H$611,2,FALSE)</f>
        <v>14</v>
      </c>
      <c r="J16">
        <f>VLOOKUP(A16,[1]Datasheet_2!$A$2:$H$611,3,FALSE)</f>
        <v>0.45450000000000002</v>
      </c>
      <c r="K16" s="9">
        <f>VLOOKUP(A16,[1]Datasheet_2!$A$2:$H$611,4,FALSE)</f>
        <v>0.72</v>
      </c>
      <c r="L16" s="8">
        <f>VLOOKUP(A16,[1]Datasheet_2!$A$2:$H$611,5,FALSE)</f>
        <v>0.28360000000000002</v>
      </c>
      <c r="M16" s="8">
        <f>VLOOKUP(A16,[1]Datasheet_2!$A$2:$H$611,6,FALSE)</f>
        <v>35</v>
      </c>
      <c r="N16" s="8">
        <f>VLOOKUP(A16,[1]Datasheet_2!$A$2:$H$611,7,FALSE)</f>
        <v>71</v>
      </c>
      <c r="O16" s="9">
        <f>VLOOKUP(A16,[1]Datasheet_2!$A$2:$H$611,8,FALSE)</f>
        <v>106</v>
      </c>
    </row>
    <row r="17" spans="1:15" x14ac:dyDescent="0.3">
      <c r="A17" s="4">
        <v>16</v>
      </c>
      <c r="B17" s="5">
        <v>40544</v>
      </c>
      <c r="C17" s="4">
        <v>1</v>
      </c>
      <c r="D17" s="4">
        <v>15</v>
      </c>
      <c r="E17" s="4" t="b">
        <v>0</v>
      </c>
      <c r="F17" s="4">
        <v>6</v>
      </c>
      <c r="G17" s="4">
        <v>2</v>
      </c>
      <c r="H17" s="4">
        <v>0.44</v>
      </c>
      <c r="I17">
        <f>VLOOKUP(A17,[1]Datasheet_2!$A$2:$H$611,2,FALSE)</f>
        <v>15</v>
      </c>
      <c r="J17">
        <f>VLOOKUP(A17,[1]Datasheet_2!$A$2:$H$611,3,FALSE)</f>
        <v>0.43940000000000001</v>
      </c>
      <c r="K17" s="9">
        <f>VLOOKUP(A17,[1]Datasheet_2!$A$2:$H$611,4,FALSE)</f>
        <v>0.77</v>
      </c>
      <c r="L17" s="8">
        <f>VLOOKUP(A17,[1]Datasheet_2!$A$2:$H$611,5,FALSE)</f>
        <v>0.29849999999999999</v>
      </c>
      <c r="M17" s="8">
        <f>VLOOKUP(A17,[1]Datasheet_2!$A$2:$H$611,6,FALSE)</f>
        <v>40</v>
      </c>
      <c r="N17" s="8">
        <f>VLOOKUP(A17,[1]Datasheet_2!$A$2:$H$611,7,FALSE)</f>
        <v>70</v>
      </c>
      <c r="O17" s="9">
        <f>VLOOKUP(A17,[1]Datasheet_2!$A$2:$H$611,8,FALSE)</f>
        <v>110</v>
      </c>
    </row>
    <row r="18" spans="1:15" x14ac:dyDescent="0.3">
      <c r="A18" s="4">
        <v>17</v>
      </c>
      <c r="B18" s="5">
        <v>40544</v>
      </c>
      <c r="C18" s="4">
        <v>1</v>
      </c>
      <c r="D18" s="4">
        <v>16</v>
      </c>
      <c r="E18" s="4" t="b">
        <v>0</v>
      </c>
      <c r="F18" s="4">
        <v>6</v>
      </c>
      <c r="G18" s="4">
        <v>2</v>
      </c>
      <c r="H18" s="4">
        <v>0.42</v>
      </c>
      <c r="I18">
        <f>VLOOKUP(A18,[1]Datasheet_2!$A$2:$H$611,2,FALSE)</f>
        <v>16</v>
      </c>
      <c r="J18">
        <f>VLOOKUP(A18,[1]Datasheet_2!$A$2:$H$611,3,FALSE)</f>
        <v>0.42420000000000002</v>
      </c>
      <c r="K18" s="9">
        <f>VLOOKUP(A18,[1]Datasheet_2!$A$2:$H$611,4,FALSE)</f>
        <v>0.82</v>
      </c>
      <c r="L18" s="8">
        <f>VLOOKUP(A18,[1]Datasheet_2!$A$2:$H$611,5,FALSE)</f>
        <v>0.29849999999999999</v>
      </c>
      <c r="M18" s="8">
        <f>VLOOKUP(A18,[1]Datasheet_2!$A$2:$H$611,6,FALSE)</f>
        <v>41</v>
      </c>
      <c r="N18" s="8">
        <f>VLOOKUP(A18,[1]Datasheet_2!$A$2:$H$611,7,FALSE)</f>
        <v>52</v>
      </c>
      <c r="O18" s="9">
        <f>VLOOKUP(A18,[1]Datasheet_2!$A$2:$H$611,8,FALSE)</f>
        <v>93</v>
      </c>
    </row>
    <row r="19" spans="1:15" x14ac:dyDescent="0.3">
      <c r="A19" s="4">
        <v>18</v>
      </c>
      <c r="B19" s="5">
        <v>40544</v>
      </c>
      <c r="C19" s="4">
        <v>1</v>
      </c>
      <c r="D19" s="4">
        <v>17</v>
      </c>
      <c r="E19" s="4" t="b">
        <v>0</v>
      </c>
      <c r="F19" s="4">
        <v>6</v>
      </c>
      <c r="G19" s="4">
        <v>2</v>
      </c>
      <c r="H19" s="4">
        <v>0.44</v>
      </c>
      <c r="I19">
        <f>VLOOKUP(A19,[1]Datasheet_2!$A$2:$H$611,2,FALSE)</f>
        <v>17</v>
      </c>
      <c r="J19">
        <f>VLOOKUP(A19,[1]Datasheet_2!$A$2:$H$611,3,FALSE)</f>
        <v>0.19989999999999999</v>
      </c>
      <c r="K19" s="9">
        <f>VLOOKUP(A19,[1]Datasheet_2!$A$2:$H$611,4,FALSE)</f>
        <v>0.82</v>
      </c>
      <c r="L19" s="8">
        <f>VLOOKUP(A19,[1]Datasheet_2!$A$2:$H$611,5,FALSE)</f>
        <v>0.28360000000000002</v>
      </c>
      <c r="M19" s="8">
        <f>VLOOKUP(A19,[1]Datasheet_2!$A$2:$H$611,6,FALSE)</f>
        <v>15</v>
      </c>
      <c r="N19" s="8">
        <f>VLOOKUP(A19,[1]Datasheet_2!$A$2:$H$611,7,FALSE)</f>
        <v>52</v>
      </c>
      <c r="O19" s="9">
        <f>VLOOKUP(A19,[1]Datasheet_2!$A$2:$H$611,8,FALSE)</f>
        <v>67</v>
      </c>
    </row>
    <row r="20" spans="1:15" x14ac:dyDescent="0.3">
      <c r="A20" s="4">
        <v>19</v>
      </c>
      <c r="B20" s="5">
        <v>40544</v>
      </c>
      <c r="C20" s="4">
        <v>1</v>
      </c>
      <c r="D20" s="4">
        <v>18</v>
      </c>
      <c r="E20" s="4" t="b">
        <v>0</v>
      </c>
      <c r="F20" s="4">
        <v>6</v>
      </c>
      <c r="G20" s="4">
        <v>3</v>
      </c>
      <c r="H20" s="4">
        <v>0.42</v>
      </c>
      <c r="I20">
        <f>VLOOKUP(A20,[1]Datasheet_2!$A$2:$H$611,2,FALSE)</f>
        <v>18</v>
      </c>
      <c r="J20">
        <f>VLOOKUP(A20,[1]Datasheet_2!$A$2:$H$611,3,FALSE)</f>
        <v>0.42420000000000002</v>
      </c>
      <c r="K20" s="9">
        <f>VLOOKUP(A20,[1]Datasheet_2!$A$2:$H$611,4,FALSE)</f>
        <v>0.88</v>
      </c>
      <c r="L20" s="8">
        <f>VLOOKUP(A20,[1]Datasheet_2!$A$2:$H$611,5,FALSE)</f>
        <v>0.25369999999999998</v>
      </c>
      <c r="M20" s="8">
        <f>VLOOKUP(A20,[1]Datasheet_2!$A$2:$H$611,6,FALSE)</f>
        <v>9</v>
      </c>
      <c r="N20" s="8">
        <f>VLOOKUP(A20,[1]Datasheet_2!$A$2:$H$611,7,FALSE)</f>
        <v>26</v>
      </c>
      <c r="O20" s="9">
        <f>VLOOKUP(A20,[1]Datasheet_2!$A$2:$H$611,8,FALSE)</f>
        <v>35</v>
      </c>
    </row>
    <row r="21" spans="1:15" x14ac:dyDescent="0.3">
      <c r="A21" s="4">
        <v>20</v>
      </c>
      <c r="B21" s="5">
        <v>40544</v>
      </c>
      <c r="C21" s="4">
        <v>1</v>
      </c>
      <c r="D21" s="4">
        <v>19</v>
      </c>
      <c r="E21" s="4" t="b">
        <v>0</v>
      </c>
      <c r="F21" s="4">
        <v>6</v>
      </c>
      <c r="G21" s="4">
        <v>3</v>
      </c>
      <c r="H21" s="4">
        <v>0.42</v>
      </c>
      <c r="I21">
        <f>VLOOKUP(A21,[1]Datasheet_2!$A$2:$H$611,2,FALSE)</f>
        <v>19</v>
      </c>
      <c r="J21">
        <f>VLOOKUP(A21,[1]Datasheet_2!$A$2:$H$611,3,FALSE)</f>
        <v>0.42420000000000002</v>
      </c>
      <c r="K21" s="9">
        <f>VLOOKUP(A21,[1]Datasheet_2!$A$2:$H$611,4,FALSE)</f>
        <v>0.88</v>
      </c>
      <c r="L21" s="8">
        <f>VLOOKUP(A21,[1]Datasheet_2!$A$2:$H$611,5,FALSE)</f>
        <v>0.25369999999999998</v>
      </c>
      <c r="M21" s="8">
        <f>VLOOKUP(A21,[1]Datasheet_2!$A$2:$H$611,6,FALSE)</f>
        <v>6</v>
      </c>
      <c r="N21" s="8">
        <f>VLOOKUP(A21,[1]Datasheet_2!$A$2:$H$611,7,FALSE)</f>
        <v>31</v>
      </c>
      <c r="O21" s="9">
        <f>VLOOKUP(A21,[1]Datasheet_2!$A$2:$H$611,8,FALSE)</f>
        <v>37</v>
      </c>
    </row>
    <row r="22" spans="1:15" x14ac:dyDescent="0.3">
      <c r="A22" s="4">
        <v>21</v>
      </c>
      <c r="B22" s="5">
        <v>40544</v>
      </c>
      <c r="C22" s="4">
        <v>1</v>
      </c>
      <c r="D22" s="4">
        <v>20</v>
      </c>
      <c r="E22" s="4" t="b">
        <v>0</v>
      </c>
      <c r="F22" s="4">
        <v>6</v>
      </c>
      <c r="G22" s="4">
        <v>2</v>
      </c>
      <c r="H22" s="4">
        <v>0.4</v>
      </c>
      <c r="I22">
        <f>VLOOKUP(A22,[1]Datasheet_2!$A$2:$H$611,2,FALSE)</f>
        <v>20</v>
      </c>
      <c r="J22">
        <f>VLOOKUP(A22,[1]Datasheet_2!$A$2:$H$611,3,FALSE)</f>
        <v>0.40910000000000002</v>
      </c>
      <c r="K22" s="9">
        <f>VLOOKUP(A22,[1]Datasheet_2!$A$2:$H$611,4,FALSE)</f>
        <v>0.87</v>
      </c>
      <c r="L22" s="8">
        <f>VLOOKUP(A22,[1]Datasheet_2!$A$2:$H$611,5,FALSE)</f>
        <v>0.25369999999999998</v>
      </c>
      <c r="M22" s="8">
        <f>VLOOKUP(A22,[1]Datasheet_2!$A$2:$H$611,6,FALSE)</f>
        <v>11</v>
      </c>
      <c r="N22" s="8">
        <f>VLOOKUP(A22,[1]Datasheet_2!$A$2:$H$611,7,FALSE)</f>
        <v>25</v>
      </c>
      <c r="O22" s="9">
        <f>VLOOKUP(A22,[1]Datasheet_2!$A$2:$H$611,8,FALSE)</f>
        <v>36</v>
      </c>
    </row>
    <row r="23" spans="1:15" x14ac:dyDescent="0.3">
      <c r="A23" s="4">
        <v>22</v>
      </c>
      <c r="B23" s="5">
        <v>40544</v>
      </c>
      <c r="C23" s="4">
        <v>1</v>
      </c>
      <c r="D23" s="4">
        <v>21</v>
      </c>
      <c r="E23" s="4" t="b">
        <v>0</v>
      </c>
      <c r="F23" s="4">
        <v>6</v>
      </c>
      <c r="G23" s="4">
        <v>2</v>
      </c>
      <c r="H23" s="4">
        <v>0.4</v>
      </c>
      <c r="I23">
        <f>VLOOKUP(A23,[1]Datasheet_2!$A$2:$H$611,2,FALSE)</f>
        <v>21</v>
      </c>
      <c r="J23">
        <f>VLOOKUP(A23,[1]Datasheet_2!$A$2:$H$611,3,FALSE)</f>
        <v>0.40910000000000002</v>
      </c>
      <c r="K23" s="9">
        <f>VLOOKUP(A23,[1]Datasheet_2!$A$2:$H$611,4,FALSE)</f>
        <v>0.87</v>
      </c>
      <c r="L23" s="8">
        <f>VLOOKUP(A23,[1]Datasheet_2!$A$2:$H$611,5,FALSE)</f>
        <v>0.19400000000000001</v>
      </c>
      <c r="M23" s="8">
        <f>VLOOKUP(A23,[1]Datasheet_2!$A$2:$H$611,6,FALSE)</f>
        <v>3</v>
      </c>
      <c r="N23" s="8">
        <f>VLOOKUP(A23,[1]Datasheet_2!$A$2:$H$611,7,FALSE)</f>
        <v>31</v>
      </c>
      <c r="O23" s="9">
        <f>VLOOKUP(A23,[1]Datasheet_2!$A$2:$H$611,8,FALSE)</f>
        <v>34</v>
      </c>
    </row>
    <row r="24" spans="1:15" x14ac:dyDescent="0.3">
      <c r="A24" s="4">
        <v>23</v>
      </c>
      <c r="B24" s="5">
        <v>40544</v>
      </c>
      <c r="C24" s="4">
        <v>1</v>
      </c>
      <c r="D24" s="4">
        <v>22</v>
      </c>
      <c r="E24" s="4" t="b">
        <v>0</v>
      </c>
      <c r="F24" s="4">
        <v>6</v>
      </c>
      <c r="G24" s="4">
        <v>2</v>
      </c>
      <c r="H24" s="4">
        <v>0.4</v>
      </c>
      <c r="I24">
        <f>VLOOKUP(A24,[1]Datasheet_2!$A$2:$H$611,2,FALSE)</f>
        <v>22</v>
      </c>
      <c r="J24">
        <f>VLOOKUP(A24,[1]Datasheet_2!$A$2:$H$611,3,FALSE)</f>
        <v>0.40910000000000002</v>
      </c>
      <c r="K24" s="9">
        <f>VLOOKUP(A24,[1]Datasheet_2!$A$2:$H$611,4,FALSE)</f>
        <v>0.94</v>
      </c>
      <c r="L24" s="8">
        <f>VLOOKUP(A24,[1]Datasheet_2!$A$2:$H$611,5,FALSE)</f>
        <v>0.22389999999999999</v>
      </c>
      <c r="M24" s="8">
        <f>VLOOKUP(A24,[1]Datasheet_2!$A$2:$H$611,6,FALSE)</f>
        <v>11</v>
      </c>
      <c r="N24" s="8">
        <f>VLOOKUP(A24,[1]Datasheet_2!$A$2:$H$611,7,FALSE)</f>
        <v>17</v>
      </c>
      <c r="O24" s="9">
        <f>VLOOKUP(A24,[1]Datasheet_2!$A$2:$H$611,8,FALSE)</f>
        <v>28</v>
      </c>
    </row>
    <row r="25" spans="1:15" x14ac:dyDescent="0.3">
      <c r="A25" s="4">
        <v>24</v>
      </c>
      <c r="B25" s="5">
        <v>40544</v>
      </c>
      <c r="C25" s="4">
        <v>1</v>
      </c>
      <c r="D25" s="4">
        <v>23</v>
      </c>
      <c r="E25" s="4" t="b">
        <v>0</v>
      </c>
      <c r="F25" s="4">
        <v>6</v>
      </c>
      <c r="G25" s="4">
        <v>2</v>
      </c>
      <c r="H25" s="4">
        <v>0.46</v>
      </c>
      <c r="I25">
        <f>VLOOKUP(A25,[1]Datasheet_2!$A$2:$H$611,2,FALSE)</f>
        <v>23</v>
      </c>
      <c r="J25">
        <f>VLOOKUP(A25,[1]Datasheet_2!$A$2:$H$611,3,FALSE)</f>
        <v>0.19989999999999999</v>
      </c>
      <c r="K25" s="9">
        <f>VLOOKUP(A25,[1]Datasheet_2!$A$2:$H$611,4,FALSE)</f>
        <v>0.88</v>
      </c>
      <c r="L25" s="8">
        <f>VLOOKUP(A25,[1]Datasheet_2!$A$2:$H$611,5,FALSE)</f>
        <v>0.29849999999999999</v>
      </c>
      <c r="M25" s="8">
        <f>VLOOKUP(A25,[1]Datasheet_2!$A$2:$H$611,6,FALSE)</f>
        <v>15</v>
      </c>
      <c r="N25" s="8">
        <f>VLOOKUP(A25,[1]Datasheet_2!$A$2:$H$611,7,FALSE)</f>
        <v>24</v>
      </c>
      <c r="O25" s="9">
        <f>VLOOKUP(A25,[1]Datasheet_2!$A$2:$H$611,8,FALSE)</f>
        <v>39</v>
      </c>
    </row>
    <row r="26" spans="1:15" x14ac:dyDescent="0.3">
      <c r="A26" s="4">
        <v>25</v>
      </c>
      <c r="B26" s="5">
        <v>40545</v>
      </c>
      <c r="C26" s="4">
        <v>1</v>
      </c>
      <c r="D26" s="4">
        <v>0</v>
      </c>
      <c r="E26" s="4" t="b">
        <v>0</v>
      </c>
      <c r="F26" s="4">
        <v>0</v>
      </c>
      <c r="G26" s="4">
        <v>2</v>
      </c>
      <c r="H26" s="4">
        <v>0.46</v>
      </c>
      <c r="I26">
        <f>VLOOKUP(A26,[1]Datasheet_2!$A$2:$H$611,2,FALSE)</f>
        <v>24</v>
      </c>
      <c r="J26">
        <f>VLOOKUP(A26,[1]Datasheet_2!$A$2:$H$611,3,FALSE)</f>
        <v>0.45450000000000002</v>
      </c>
      <c r="K26" s="9">
        <f>VLOOKUP(A26,[1]Datasheet_2!$A$2:$H$611,4,FALSE)</f>
        <v>0.88</v>
      </c>
      <c r="L26" s="8">
        <f>VLOOKUP(A26,[1]Datasheet_2!$A$2:$H$611,5,FALSE)</f>
        <v>0.29849999999999999</v>
      </c>
      <c r="M26" s="8">
        <f>VLOOKUP(A26,[1]Datasheet_2!$A$2:$H$611,6,FALSE)</f>
        <v>4</v>
      </c>
      <c r="N26" s="8">
        <f>VLOOKUP(A26,[1]Datasheet_2!$A$2:$H$611,7,FALSE)</f>
        <v>13</v>
      </c>
      <c r="O26" s="9">
        <f>VLOOKUP(A26,[1]Datasheet_2!$A$2:$H$611,8,FALSE)</f>
        <v>17</v>
      </c>
    </row>
    <row r="27" spans="1:15" x14ac:dyDescent="0.3">
      <c r="A27" s="4">
        <v>26</v>
      </c>
      <c r="B27" s="5">
        <v>40545</v>
      </c>
      <c r="C27" s="4">
        <v>1</v>
      </c>
      <c r="D27" s="4">
        <v>1</v>
      </c>
      <c r="E27" s="4" t="b">
        <v>0</v>
      </c>
      <c r="F27" s="4">
        <v>0</v>
      </c>
      <c r="G27" s="4">
        <v>2</v>
      </c>
      <c r="H27" s="4">
        <v>0.44</v>
      </c>
      <c r="I27">
        <f>VLOOKUP(A27,[1]Datasheet_2!$A$2:$H$611,2,FALSE)</f>
        <v>25</v>
      </c>
      <c r="J27">
        <f>VLOOKUP(A27,[1]Datasheet_2!$A$2:$H$611,3,FALSE)</f>
        <v>0.43940000000000001</v>
      </c>
      <c r="K27" s="9">
        <f>VLOOKUP(A27,[1]Datasheet_2!$A$2:$H$611,4,FALSE)</f>
        <v>0.94</v>
      </c>
      <c r="L27" s="8">
        <f>VLOOKUP(A27,[1]Datasheet_2!$A$2:$H$611,5,FALSE)</f>
        <v>0.25369999999999998</v>
      </c>
      <c r="M27" s="8">
        <f>VLOOKUP(A27,[1]Datasheet_2!$A$2:$H$611,6,FALSE)</f>
        <v>1</v>
      </c>
      <c r="N27" s="8">
        <f>VLOOKUP(A27,[1]Datasheet_2!$A$2:$H$611,7,FALSE)</f>
        <v>16</v>
      </c>
      <c r="O27" s="9">
        <f>VLOOKUP(A27,[1]Datasheet_2!$A$2:$H$611,8,FALSE)</f>
        <v>17</v>
      </c>
    </row>
    <row r="28" spans="1:15" x14ac:dyDescent="0.3">
      <c r="A28" s="4">
        <v>27</v>
      </c>
      <c r="B28" s="5">
        <v>40545</v>
      </c>
      <c r="C28" s="4">
        <v>1</v>
      </c>
      <c r="D28" s="4">
        <v>2</v>
      </c>
      <c r="E28" s="4" t="b">
        <v>0</v>
      </c>
      <c r="F28" s="4">
        <v>0</v>
      </c>
      <c r="G28" s="4">
        <v>2</v>
      </c>
      <c r="H28" s="4">
        <v>0.42</v>
      </c>
      <c r="I28">
        <f>VLOOKUP(A28,[1]Datasheet_2!$A$2:$H$611,2,FALSE)</f>
        <v>26</v>
      </c>
      <c r="J28">
        <f>VLOOKUP(A28,[1]Datasheet_2!$A$2:$H$611,3,FALSE)</f>
        <v>0.42420000000000002</v>
      </c>
      <c r="K28" s="9">
        <f>VLOOKUP(A28,[1]Datasheet_2!$A$2:$H$611,4,FALSE)</f>
        <v>1</v>
      </c>
      <c r="L28" s="8">
        <f>VLOOKUP(A28,[1]Datasheet_2!$A$2:$H$611,5,FALSE)</f>
        <v>0.28360000000000002</v>
      </c>
      <c r="M28" s="8">
        <f>VLOOKUP(A28,[1]Datasheet_2!$A$2:$H$611,6,FALSE)</f>
        <v>1</v>
      </c>
      <c r="N28" s="8">
        <f>VLOOKUP(A28,[1]Datasheet_2!$A$2:$H$611,7,FALSE)</f>
        <v>8</v>
      </c>
      <c r="O28" s="9">
        <f>VLOOKUP(A28,[1]Datasheet_2!$A$2:$H$611,8,FALSE)</f>
        <v>9</v>
      </c>
    </row>
    <row r="29" spans="1:15" x14ac:dyDescent="0.3">
      <c r="A29" s="4">
        <v>28</v>
      </c>
      <c r="B29" s="5">
        <v>40545</v>
      </c>
      <c r="C29" s="4">
        <v>1</v>
      </c>
      <c r="D29" s="4">
        <v>3</v>
      </c>
      <c r="E29" s="4" t="b">
        <v>0</v>
      </c>
      <c r="F29" s="4">
        <v>0</v>
      </c>
      <c r="G29" s="4">
        <v>2</v>
      </c>
      <c r="H29" s="4">
        <v>0.46</v>
      </c>
      <c r="I29">
        <f>VLOOKUP(A29,[1]Datasheet_2!$A$2:$H$611,2,FALSE)</f>
        <v>27</v>
      </c>
      <c r="J29">
        <f>VLOOKUP(A29,[1]Datasheet_2!$A$2:$H$611,3,FALSE)</f>
        <v>0.45450000000000002</v>
      </c>
      <c r="K29" s="9">
        <f>VLOOKUP(A29,[1]Datasheet_2!$A$2:$H$611,4,FALSE)</f>
        <v>0.94</v>
      </c>
      <c r="L29" s="8">
        <f>VLOOKUP(A29,[1]Datasheet_2!$A$2:$H$611,5,FALSE)</f>
        <v>0.19400000000000001</v>
      </c>
      <c r="M29" s="8">
        <f>VLOOKUP(A29,[1]Datasheet_2!$A$2:$H$611,6,FALSE)</f>
        <v>2</v>
      </c>
      <c r="N29" s="8">
        <f>VLOOKUP(A29,[1]Datasheet_2!$A$2:$H$611,7,FALSE)</f>
        <v>4</v>
      </c>
      <c r="O29" s="9">
        <f>VLOOKUP(A29,[1]Datasheet_2!$A$2:$H$611,8,FALSE)</f>
        <v>6</v>
      </c>
    </row>
    <row r="30" spans="1:15" x14ac:dyDescent="0.3">
      <c r="A30" s="4">
        <v>29</v>
      </c>
      <c r="B30" s="5">
        <v>40545</v>
      </c>
      <c r="C30" s="4">
        <v>1</v>
      </c>
      <c r="D30" s="4">
        <v>4</v>
      </c>
      <c r="E30" s="4" t="b">
        <v>0</v>
      </c>
      <c r="F30" s="4">
        <v>0</v>
      </c>
      <c r="G30" s="4">
        <v>2</v>
      </c>
      <c r="H30" s="4">
        <v>0.46</v>
      </c>
      <c r="I30">
        <f>VLOOKUP(A30,[1]Datasheet_2!$A$2:$H$611,2,FALSE)</f>
        <v>28</v>
      </c>
      <c r="J30">
        <f>VLOOKUP(A30,[1]Datasheet_2!$A$2:$H$611,3,FALSE)</f>
        <v>0.19989999999999999</v>
      </c>
      <c r="K30" s="9">
        <f>VLOOKUP(A30,[1]Datasheet_2!$A$2:$H$611,4,FALSE)</f>
        <v>0.94</v>
      </c>
      <c r="L30" s="8">
        <f>VLOOKUP(A30,[1]Datasheet_2!$A$2:$H$611,5,FALSE)</f>
        <v>0.19400000000000001</v>
      </c>
      <c r="M30" s="8">
        <f>VLOOKUP(A30,[1]Datasheet_2!$A$2:$H$611,6,FALSE)</f>
        <v>2</v>
      </c>
      <c r="N30" s="8">
        <f>VLOOKUP(A30,[1]Datasheet_2!$A$2:$H$611,7,FALSE)</f>
        <v>1</v>
      </c>
      <c r="O30" s="9">
        <f>VLOOKUP(A30,[1]Datasheet_2!$A$2:$H$611,8,FALSE)</f>
        <v>3</v>
      </c>
    </row>
    <row r="31" spans="1:15" x14ac:dyDescent="0.3">
      <c r="A31" s="4">
        <v>30</v>
      </c>
      <c r="B31" s="5">
        <v>40545</v>
      </c>
      <c r="C31" s="4">
        <v>1</v>
      </c>
      <c r="D31" s="4">
        <v>6</v>
      </c>
      <c r="E31" s="4" t="b">
        <v>0</v>
      </c>
      <c r="F31" s="4">
        <v>0</v>
      </c>
      <c r="G31" s="4">
        <v>3</v>
      </c>
      <c r="H31" s="4">
        <v>0.42</v>
      </c>
      <c r="I31">
        <f>VLOOKUP(A31,[1]Datasheet_2!$A$2:$H$611,2,FALSE)</f>
        <v>29</v>
      </c>
      <c r="J31">
        <f>VLOOKUP(A31,[1]Datasheet_2!$A$2:$H$611,3,FALSE)</f>
        <v>0.42420000000000002</v>
      </c>
      <c r="K31" s="9">
        <f>VLOOKUP(A31,[1]Datasheet_2!$A$2:$H$611,4,FALSE)</f>
        <v>0.77</v>
      </c>
      <c r="L31" s="8">
        <f>VLOOKUP(A31,[1]Datasheet_2!$A$2:$H$611,5,FALSE)</f>
        <v>0.29849999999999999</v>
      </c>
      <c r="M31" s="8">
        <f>VLOOKUP(A31,[1]Datasheet_2!$A$2:$H$611,6,FALSE)</f>
        <v>0</v>
      </c>
      <c r="N31" s="8">
        <f>VLOOKUP(A31,[1]Datasheet_2!$A$2:$H$611,7,FALSE)</f>
        <v>2</v>
      </c>
      <c r="O31" s="9">
        <f>VLOOKUP(A31,[1]Datasheet_2!$A$2:$H$611,8,FALSE)</f>
        <v>2</v>
      </c>
    </row>
    <row r="32" spans="1:15" x14ac:dyDescent="0.3">
      <c r="A32" s="4">
        <v>31</v>
      </c>
      <c r="B32" s="5">
        <v>40545</v>
      </c>
      <c r="C32" s="4">
        <v>1</v>
      </c>
      <c r="D32" s="4">
        <v>7</v>
      </c>
      <c r="E32" s="4" t="b">
        <v>0</v>
      </c>
      <c r="F32" s="4">
        <v>0</v>
      </c>
      <c r="G32" s="4">
        <v>2</v>
      </c>
      <c r="H32" s="4">
        <v>0.4</v>
      </c>
      <c r="I32">
        <f>VLOOKUP(A32,[1]Datasheet_2!$A$2:$H$611,2,FALSE)</f>
        <v>30</v>
      </c>
      <c r="J32">
        <f>VLOOKUP(A32,[1]Datasheet_2!$A$2:$H$611,3,FALSE)</f>
        <v>0.40910000000000002</v>
      </c>
      <c r="K32" s="9">
        <f>VLOOKUP(A32,[1]Datasheet_2!$A$2:$H$611,4,FALSE)</f>
        <v>0.76</v>
      </c>
      <c r="L32" s="8">
        <f>VLOOKUP(A32,[1]Datasheet_2!$A$2:$H$611,5,FALSE)</f>
        <v>0.19400000000000001</v>
      </c>
      <c r="M32" s="8">
        <f>VLOOKUP(A32,[1]Datasheet_2!$A$2:$H$611,6,FALSE)</f>
        <v>0</v>
      </c>
      <c r="N32" s="8">
        <f>VLOOKUP(A32,[1]Datasheet_2!$A$2:$H$611,7,FALSE)</f>
        <v>1</v>
      </c>
      <c r="O32" s="9">
        <f>VLOOKUP(A32,[1]Datasheet_2!$A$2:$H$611,8,FALSE)</f>
        <v>1</v>
      </c>
    </row>
    <row r="33" spans="1:15" x14ac:dyDescent="0.3">
      <c r="A33" s="4">
        <v>32</v>
      </c>
      <c r="B33" s="5">
        <v>40545</v>
      </c>
      <c r="C33" s="4">
        <v>1</v>
      </c>
      <c r="D33" s="4">
        <v>8</v>
      </c>
      <c r="E33" s="4" t="b">
        <v>0</v>
      </c>
      <c r="F33" s="4">
        <v>0</v>
      </c>
      <c r="G33" s="4">
        <v>3</v>
      </c>
      <c r="H33" s="4">
        <v>0.4</v>
      </c>
      <c r="I33">
        <f>VLOOKUP(A33,[1]Datasheet_2!$A$2:$H$611,2,FALSE)</f>
        <v>31</v>
      </c>
      <c r="J33">
        <f>VLOOKUP(A33,[1]Datasheet_2!$A$2:$H$611,3,FALSE)</f>
        <v>0.40910000000000002</v>
      </c>
      <c r="K33" s="9">
        <f>VLOOKUP(A33,[1]Datasheet_2!$A$2:$H$611,4,FALSE)</f>
        <v>0.71</v>
      </c>
      <c r="L33" s="8">
        <f>VLOOKUP(A33,[1]Datasheet_2!$A$2:$H$611,5,FALSE)</f>
        <v>0.22389999999999999</v>
      </c>
      <c r="M33" s="8">
        <f>VLOOKUP(A33,[1]Datasheet_2!$A$2:$H$611,6,FALSE)</f>
        <v>0</v>
      </c>
      <c r="N33" s="8">
        <f>VLOOKUP(A33,[1]Datasheet_2!$A$2:$H$611,7,FALSE)</f>
        <v>8</v>
      </c>
      <c r="O33" s="9">
        <f>VLOOKUP(A33,[1]Datasheet_2!$A$2:$H$611,8,FALSE)</f>
        <v>8</v>
      </c>
    </row>
    <row r="34" spans="1:15" x14ac:dyDescent="0.3">
      <c r="A34" s="4">
        <v>33</v>
      </c>
      <c r="B34" s="5">
        <v>40545</v>
      </c>
      <c r="C34" s="4">
        <v>1</v>
      </c>
      <c r="D34" s="4">
        <v>9</v>
      </c>
      <c r="E34" s="4" t="b">
        <v>0</v>
      </c>
      <c r="F34" s="4">
        <v>0</v>
      </c>
      <c r="G34" s="4">
        <v>2</v>
      </c>
      <c r="H34" s="4">
        <v>0.38</v>
      </c>
      <c r="I34">
        <f>VLOOKUP(A34,[1]Datasheet_2!$A$2:$H$611,2,FALSE)</f>
        <v>32</v>
      </c>
      <c r="J34">
        <f>VLOOKUP(A34,[1]Datasheet_2!$A$2:$H$611,3,FALSE)</f>
        <v>0.19989999999999999</v>
      </c>
      <c r="K34" s="9">
        <f>VLOOKUP(A34,[1]Datasheet_2!$A$2:$H$611,4,FALSE)</f>
        <v>0.76</v>
      </c>
      <c r="L34" s="8">
        <f>VLOOKUP(A34,[1]Datasheet_2!$A$2:$H$611,5,FALSE)</f>
        <v>0.22389999999999999</v>
      </c>
      <c r="M34" s="8">
        <f>VLOOKUP(A34,[1]Datasheet_2!$A$2:$H$611,6,FALSE)</f>
        <v>1</v>
      </c>
      <c r="N34" s="8">
        <f>VLOOKUP(A34,[1]Datasheet_2!$A$2:$H$611,7,FALSE)</f>
        <v>19</v>
      </c>
      <c r="O34" s="9">
        <f>VLOOKUP(A34,[1]Datasheet_2!$A$2:$H$611,8,FALSE)</f>
        <v>20</v>
      </c>
    </row>
    <row r="35" spans="1:15" x14ac:dyDescent="0.3">
      <c r="A35" s="4">
        <v>34</v>
      </c>
      <c r="B35" s="5">
        <v>40545</v>
      </c>
      <c r="C35" s="4">
        <v>1</v>
      </c>
      <c r="D35" s="4">
        <v>10</v>
      </c>
      <c r="E35" s="4" t="b">
        <v>0</v>
      </c>
      <c r="F35" s="4">
        <v>0</v>
      </c>
      <c r="G35" s="4">
        <v>2</v>
      </c>
      <c r="H35" s="4">
        <v>0.36</v>
      </c>
      <c r="I35">
        <f>VLOOKUP(A35,[1]Datasheet_2!$A$2:$H$611,2,FALSE)</f>
        <v>33</v>
      </c>
      <c r="J35">
        <f>VLOOKUP(A35,[1]Datasheet_2!$A$2:$H$611,3,FALSE)</f>
        <v>0.34849999999999998</v>
      </c>
      <c r="K35" s="9">
        <f>VLOOKUP(A35,[1]Datasheet_2!$A$2:$H$611,4,FALSE)</f>
        <v>0.81</v>
      </c>
      <c r="L35" s="8">
        <f>VLOOKUP(A35,[1]Datasheet_2!$A$2:$H$611,5,FALSE)</f>
        <v>0.22389999999999999</v>
      </c>
      <c r="M35" s="8">
        <f>VLOOKUP(A35,[1]Datasheet_2!$A$2:$H$611,6,FALSE)</f>
        <v>7</v>
      </c>
      <c r="N35" s="8">
        <f>VLOOKUP(A35,[1]Datasheet_2!$A$2:$H$611,7,FALSE)</f>
        <v>46</v>
      </c>
      <c r="O35" s="9">
        <f>VLOOKUP(A35,[1]Datasheet_2!$A$2:$H$611,8,FALSE)</f>
        <v>53</v>
      </c>
    </row>
    <row r="36" spans="1:15" x14ac:dyDescent="0.3">
      <c r="A36" s="4">
        <v>35</v>
      </c>
      <c r="B36" s="5">
        <v>40545</v>
      </c>
      <c r="C36" s="4">
        <v>1</v>
      </c>
      <c r="D36" s="4">
        <v>11</v>
      </c>
      <c r="E36" s="4" t="b">
        <v>0</v>
      </c>
      <c r="F36" s="4">
        <v>0</v>
      </c>
      <c r="G36" s="4">
        <v>2</v>
      </c>
      <c r="H36" s="4">
        <v>0.36</v>
      </c>
      <c r="I36">
        <f>VLOOKUP(A36,[1]Datasheet_2!$A$2:$H$611,2,FALSE)</f>
        <v>34</v>
      </c>
      <c r="J36">
        <f>VLOOKUP(A36,[1]Datasheet_2!$A$2:$H$611,3,FALSE)</f>
        <v>0.33329999999999999</v>
      </c>
      <c r="K36" s="9">
        <f>VLOOKUP(A36,[1]Datasheet_2!$A$2:$H$611,4,FALSE)</f>
        <v>0.71</v>
      </c>
      <c r="L36" s="8">
        <f>VLOOKUP(A36,[1]Datasheet_2!$A$2:$H$611,5,FALSE)</f>
        <v>0.25369999999999998</v>
      </c>
      <c r="M36" s="8">
        <f>VLOOKUP(A36,[1]Datasheet_2!$A$2:$H$611,6,FALSE)</f>
        <v>16</v>
      </c>
      <c r="N36" s="8">
        <f>VLOOKUP(A36,[1]Datasheet_2!$A$2:$H$611,7,FALSE)</f>
        <v>54</v>
      </c>
      <c r="O36" s="9">
        <f>VLOOKUP(A36,[1]Datasheet_2!$A$2:$H$611,8,FALSE)</f>
        <v>70</v>
      </c>
    </row>
    <row r="37" spans="1:15" x14ac:dyDescent="0.3">
      <c r="A37" s="4">
        <v>36</v>
      </c>
      <c r="B37" s="5">
        <v>40545</v>
      </c>
      <c r="C37" s="4">
        <v>1</v>
      </c>
      <c r="D37" s="4">
        <v>12</v>
      </c>
      <c r="E37" s="4" t="b">
        <v>0</v>
      </c>
      <c r="F37" s="4">
        <v>0</v>
      </c>
      <c r="G37" s="4">
        <v>2</v>
      </c>
      <c r="H37" s="4">
        <v>0.36</v>
      </c>
      <c r="I37">
        <f>VLOOKUP(A37,[1]Datasheet_2!$A$2:$H$611,2,FALSE)</f>
        <v>35</v>
      </c>
      <c r="J37">
        <f>VLOOKUP(A37,[1]Datasheet_2!$A$2:$H$611,3,FALSE)</f>
        <v>0.33329999999999999</v>
      </c>
      <c r="K37" s="9">
        <f>VLOOKUP(A37,[1]Datasheet_2!$A$2:$H$611,4,FALSE)</f>
        <v>0.66</v>
      </c>
      <c r="L37" s="8">
        <f>VLOOKUP(A37,[1]Datasheet_2!$A$2:$H$611,5,FALSE)</f>
        <v>0.29849999999999999</v>
      </c>
      <c r="M37" s="8">
        <f>VLOOKUP(A37,[1]Datasheet_2!$A$2:$H$611,6,FALSE)</f>
        <v>20</v>
      </c>
      <c r="N37" s="8">
        <f>VLOOKUP(A37,[1]Datasheet_2!$A$2:$H$611,7,FALSE)</f>
        <v>73</v>
      </c>
      <c r="O37" s="9">
        <f>VLOOKUP(A37,[1]Datasheet_2!$A$2:$H$611,8,FALSE)</f>
        <v>93</v>
      </c>
    </row>
    <row r="38" spans="1:15" x14ac:dyDescent="0.3">
      <c r="A38" s="4">
        <v>37</v>
      </c>
      <c r="B38" s="5">
        <v>40545</v>
      </c>
      <c r="C38" s="4">
        <v>1</v>
      </c>
      <c r="D38" s="4">
        <v>13</v>
      </c>
      <c r="E38" s="4" t="b">
        <v>0</v>
      </c>
      <c r="F38" s="4">
        <v>0</v>
      </c>
      <c r="G38" s="4">
        <v>2</v>
      </c>
      <c r="H38" s="4">
        <v>0.36</v>
      </c>
      <c r="I38">
        <f>VLOOKUP(A38,[1]Datasheet_2!$A$2:$H$611,2,FALSE)</f>
        <v>36</v>
      </c>
      <c r="J38">
        <f>VLOOKUP(A38,[1]Datasheet_2!$A$2:$H$611,3,FALSE)</f>
        <v>0.34849999999999998</v>
      </c>
      <c r="K38" s="9">
        <f>VLOOKUP(A38,[1]Datasheet_2!$A$2:$H$611,4,FALSE)</f>
        <v>0.66</v>
      </c>
      <c r="L38" s="8">
        <f>VLOOKUP(A38,[1]Datasheet_2!$A$2:$H$611,5,FALSE)</f>
        <v>0.1343</v>
      </c>
      <c r="M38" s="8">
        <f>VLOOKUP(A38,[1]Datasheet_2!$A$2:$H$611,6,FALSE)</f>
        <v>11</v>
      </c>
      <c r="N38" s="8">
        <f>VLOOKUP(A38,[1]Datasheet_2!$A$2:$H$611,7,FALSE)</f>
        <v>64</v>
      </c>
      <c r="O38" s="9">
        <f>VLOOKUP(A38,[1]Datasheet_2!$A$2:$H$611,8,FALSE)</f>
        <v>75</v>
      </c>
    </row>
    <row r="39" spans="1:15" x14ac:dyDescent="0.3">
      <c r="A39" s="4">
        <v>38</v>
      </c>
      <c r="B39" s="5">
        <v>40545</v>
      </c>
      <c r="C39" s="4">
        <v>1</v>
      </c>
      <c r="D39" s="4">
        <v>14</v>
      </c>
      <c r="E39" s="4" t="b">
        <v>0</v>
      </c>
      <c r="F39" s="4">
        <v>0</v>
      </c>
      <c r="G39" s="4">
        <v>3</v>
      </c>
      <c r="H39" s="4">
        <v>0.36</v>
      </c>
      <c r="I39">
        <f>VLOOKUP(A39,[1]Datasheet_2!$A$2:$H$611,2,FALSE)</f>
        <v>37</v>
      </c>
      <c r="J39">
        <f>VLOOKUP(A39,[1]Datasheet_2!$A$2:$H$611,3,FALSE)</f>
        <v>0.19989999999999999</v>
      </c>
      <c r="K39" s="9">
        <f>VLOOKUP(A39,[1]Datasheet_2!$A$2:$H$611,4,FALSE)</f>
        <v>0.76</v>
      </c>
      <c r="L39" s="8">
        <f>VLOOKUP(A39,[1]Datasheet_2!$A$2:$H$611,5,FALSE)</f>
        <v>0.19400000000000001</v>
      </c>
      <c r="M39" s="8">
        <f>VLOOKUP(A39,[1]Datasheet_2!$A$2:$H$611,6,FALSE)</f>
        <v>4</v>
      </c>
      <c r="N39" s="8">
        <f>VLOOKUP(A39,[1]Datasheet_2!$A$2:$H$611,7,FALSE)</f>
        <v>55</v>
      </c>
      <c r="O39" s="9">
        <f>VLOOKUP(A39,[1]Datasheet_2!$A$2:$H$611,8,FALSE)</f>
        <v>59</v>
      </c>
    </row>
    <row r="40" spans="1:15" x14ac:dyDescent="0.3">
      <c r="A40" s="4">
        <v>39</v>
      </c>
      <c r="B40" s="5">
        <v>40545</v>
      </c>
      <c r="C40" s="4">
        <v>1</v>
      </c>
      <c r="D40" s="4">
        <v>15</v>
      </c>
      <c r="E40" s="4" t="b">
        <v>0</v>
      </c>
      <c r="F40" s="4">
        <v>0</v>
      </c>
      <c r="G40" s="4">
        <v>3</v>
      </c>
      <c r="H40" s="4">
        <v>0.34</v>
      </c>
      <c r="I40">
        <f>VLOOKUP(A40,[1]Datasheet_2!$A$2:$H$611,2,FALSE)</f>
        <v>38</v>
      </c>
      <c r="J40">
        <f>VLOOKUP(A40,[1]Datasheet_2!$A$2:$H$611,3,FALSE)</f>
        <v>0.33329999999999999</v>
      </c>
      <c r="K40" s="9">
        <f>VLOOKUP(A40,[1]Datasheet_2!$A$2:$H$611,4,FALSE)</f>
        <v>0.81</v>
      </c>
      <c r="L40" s="8">
        <f>VLOOKUP(A40,[1]Datasheet_2!$A$2:$H$611,5,FALSE)</f>
        <v>0.16420000000000001</v>
      </c>
      <c r="M40" s="8">
        <f>VLOOKUP(A40,[1]Datasheet_2!$A$2:$H$611,6,FALSE)</f>
        <v>19</v>
      </c>
      <c r="N40" s="8">
        <f>VLOOKUP(A40,[1]Datasheet_2!$A$2:$H$611,7,FALSE)</f>
        <v>55</v>
      </c>
      <c r="O40" s="9">
        <f>VLOOKUP(A40,[1]Datasheet_2!$A$2:$H$611,8,FALSE)</f>
        <v>74</v>
      </c>
    </row>
    <row r="41" spans="1:15" x14ac:dyDescent="0.3">
      <c r="A41" s="4">
        <v>40</v>
      </c>
      <c r="B41" s="5">
        <v>40545</v>
      </c>
      <c r="C41" s="4">
        <v>1</v>
      </c>
      <c r="D41" s="4">
        <v>16</v>
      </c>
      <c r="E41" s="4" t="b">
        <v>0</v>
      </c>
      <c r="F41" s="4">
        <v>0</v>
      </c>
      <c r="G41" s="4">
        <v>3</v>
      </c>
      <c r="H41" s="4">
        <v>0.34</v>
      </c>
      <c r="I41">
        <f>VLOOKUP(A41,[1]Datasheet_2!$A$2:$H$611,2,FALSE)</f>
        <v>39</v>
      </c>
      <c r="J41">
        <f>VLOOKUP(A41,[1]Datasheet_2!$A$2:$H$611,3,FALSE)</f>
        <v>0.33329999999999999</v>
      </c>
      <c r="K41" s="9">
        <f>VLOOKUP(A41,[1]Datasheet_2!$A$2:$H$611,4,FALSE)</f>
        <v>0.71</v>
      </c>
      <c r="L41" s="8">
        <f>VLOOKUP(A41,[1]Datasheet_2!$A$2:$H$611,5,FALSE)</f>
        <v>0.16420000000000001</v>
      </c>
      <c r="M41" s="8">
        <f>VLOOKUP(A41,[1]Datasheet_2!$A$2:$H$611,6,FALSE)</f>
        <v>9</v>
      </c>
      <c r="N41" s="8">
        <f>VLOOKUP(A41,[1]Datasheet_2!$A$2:$H$611,7,FALSE)</f>
        <v>67</v>
      </c>
      <c r="O41" s="9">
        <f>VLOOKUP(A41,[1]Datasheet_2!$A$2:$H$611,8,FALSE)</f>
        <v>76</v>
      </c>
    </row>
    <row r="42" spans="1:15" x14ac:dyDescent="0.3">
      <c r="A42" s="4">
        <v>41</v>
      </c>
      <c r="B42" s="5">
        <v>40545</v>
      </c>
      <c r="C42" s="4">
        <v>1</v>
      </c>
      <c r="D42" s="4">
        <v>17</v>
      </c>
      <c r="E42" s="4" t="b">
        <v>0</v>
      </c>
      <c r="F42" s="4">
        <v>0</v>
      </c>
      <c r="G42" s="4">
        <v>1</v>
      </c>
      <c r="H42" s="4">
        <v>0.34</v>
      </c>
      <c r="I42">
        <f>VLOOKUP(A42,[1]Datasheet_2!$A$2:$H$611,2,FALSE)</f>
        <v>40</v>
      </c>
      <c r="J42">
        <f>VLOOKUP(A42,[1]Datasheet_2!$A$2:$H$611,3,FALSE)</f>
        <v>0.33329999999999999</v>
      </c>
      <c r="K42" s="9">
        <f>VLOOKUP(A42,[1]Datasheet_2!$A$2:$H$611,4,FALSE)</f>
        <v>0.56999999999999995</v>
      </c>
      <c r="L42" s="8">
        <f>VLOOKUP(A42,[1]Datasheet_2!$A$2:$H$611,5,FALSE)</f>
        <v>0.19400000000000001</v>
      </c>
      <c r="M42" s="8">
        <f>VLOOKUP(A42,[1]Datasheet_2!$A$2:$H$611,6,FALSE)</f>
        <v>7</v>
      </c>
      <c r="N42" s="8">
        <f>VLOOKUP(A42,[1]Datasheet_2!$A$2:$H$611,7,FALSE)</f>
        <v>58</v>
      </c>
      <c r="O42" s="9">
        <f>VLOOKUP(A42,[1]Datasheet_2!$A$2:$H$611,8,FALSE)</f>
        <v>65</v>
      </c>
    </row>
    <row r="43" spans="1:15" x14ac:dyDescent="0.3">
      <c r="A43" s="4">
        <v>42</v>
      </c>
      <c r="B43" s="5">
        <v>40545</v>
      </c>
      <c r="C43" s="4">
        <v>1</v>
      </c>
      <c r="D43" s="4">
        <v>18</v>
      </c>
      <c r="E43" s="4" t="b">
        <v>0</v>
      </c>
      <c r="F43" s="4">
        <v>0</v>
      </c>
      <c r="G43" s="4">
        <v>2</v>
      </c>
      <c r="H43" s="4">
        <v>0.36</v>
      </c>
      <c r="I43">
        <f>VLOOKUP(A43,[1]Datasheet_2!$A$2:$H$611,2,FALSE)</f>
        <v>41</v>
      </c>
      <c r="J43">
        <f>VLOOKUP(A43,[1]Datasheet_2!$A$2:$H$611,3,FALSE)</f>
        <v>0.33329999999999999</v>
      </c>
      <c r="K43" s="9">
        <f>VLOOKUP(A43,[1]Datasheet_2!$A$2:$H$611,4,FALSE)</f>
        <v>0.46</v>
      </c>
      <c r="L43" s="8">
        <f>VLOOKUP(A43,[1]Datasheet_2!$A$2:$H$611,5,FALSE)</f>
        <v>0.32840000000000003</v>
      </c>
      <c r="M43" s="8">
        <f>VLOOKUP(A43,[1]Datasheet_2!$A$2:$H$611,6,FALSE)</f>
        <v>10</v>
      </c>
      <c r="N43" s="8">
        <f>VLOOKUP(A43,[1]Datasheet_2!$A$2:$H$611,7,FALSE)</f>
        <v>43</v>
      </c>
      <c r="O43" s="9">
        <f>VLOOKUP(A43,[1]Datasheet_2!$A$2:$H$611,8,FALSE)</f>
        <v>53</v>
      </c>
    </row>
    <row r="44" spans="1:15" x14ac:dyDescent="0.3">
      <c r="A44" s="4">
        <v>43</v>
      </c>
      <c r="B44" s="5">
        <v>40545</v>
      </c>
      <c r="C44" s="4">
        <v>1</v>
      </c>
      <c r="D44" s="4">
        <v>19</v>
      </c>
      <c r="E44" s="4" t="b">
        <v>0</v>
      </c>
      <c r="F44" s="4">
        <v>0</v>
      </c>
      <c r="G44" s="4">
        <v>1</v>
      </c>
      <c r="H44" s="4">
        <v>0.32</v>
      </c>
      <c r="I44">
        <f>VLOOKUP(A44,[1]Datasheet_2!$A$2:$H$611,2,FALSE)</f>
        <v>42</v>
      </c>
      <c r="J44">
        <f>VLOOKUP(A44,[1]Datasheet_2!$A$2:$H$611,3,FALSE)</f>
        <v>0.28789999999999999</v>
      </c>
      <c r="K44" s="9">
        <f>VLOOKUP(A44,[1]Datasheet_2!$A$2:$H$611,4,FALSE)</f>
        <v>0.42</v>
      </c>
      <c r="L44" s="8">
        <f>VLOOKUP(A44,[1]Datasheet_2!$A$2:$H$611,5,FALSE)</f>
        <v>0.44779999999999998</v>
      </c>
      <c r="M44" s="8">
        <f>VLOOKUP(A44,[1]Datasheet_2!$A$2:$H$611,6,FALSE)</f>
        <v>1</v>
      </c>
      <c r="N44" s="8">
        <f>VLOOKUP(A44,[1]Datasheet_2!$A$2:$H$611,7,FALSE)</f>
        <v>29</v>
      </c>
      <c r="O44" s="9">
        <f>VLOOKUP(A44,[1]Datasheet_2!$A$2:$H$611,8,FALSE)</f>
        <v>30</v>
      </c>
    </row>
    <row r="45" spans="1:15" x14ac:dyDescent="0.3">
      <c r="A45" s="4">
        <v>44</v>
      </c>
      <c r="B45" s="5">
        <v>40545</v>
      </c>
      <c r="C45" s="4">
        <v>1</v>
      </c>
      <c r="D45" s="4">
        <v>20</v>
      </c>
      <c r="E45" s="4" t="b">
        <v>0</v>
      </c>
      <c r="F45" s="4">
        <v>0</v>
      </c>
      <c r="G45" s="4">
        <v>1</v>
      </c>
      <c r="H45" s="4">
        <v>0.3</v>
      </c>
      <c r="I45">
        <f>VLOOKUP(A45,[1]Datasheet_2!$A$2:$H$611,2,FALSE)</f>
        <v>43</v>
      </c>
      <c r="J45">
        <f>VLOOKUP(A45,[1]Datasheet_2!$A$2:$H$611,3,FALSE)</f>
        <v>0.19989999999999999</v>
      </c>
      <c r="K45" s="9">
        <f>VLOOKUP(A45,[1]Datasheet_2!$A$2:$H$611,4,FALSE)</f>
        <v>0.39</v>
      </c>
      <c r="L45" s="8">
        <f>VLOOKUP(A45,[1]Datasheet_2!$A$2:$H$611,5,FALSE)</f>
        <v>0.35820000000000002</v>
      </c>
      <c r="M45" s="8">
        <f>VLOOKUP(A45,[1]Datasheet_2!$A$2:$H$611,6,FALSE)</f>
        <v>5</v>
      </c>
      <c r="N45" s="8">
        <f>VLOOKUP(A45,[1]Datasheet_2!$A$2:$H$611,7,FALSE)</f>
        <v>17</v>
      </c>
      <c r="O45" s="9">
        <f>VLOOKUP(A45,[1]Datasheet_2!$A$2:$H$611,8,FALSE)</f>
        <v>22</v>
      </c>
    </row>
    <row r="46" spans="1:15" x14ac:dyDescent="0.3">
      <c r="A46" s="4">
        <v>45</v>
      </c>
      <c r="B46" s="5">
        <v>40545</v>
      </c>
      <c r="C46" s="4">
        <v>1</v>
      </c>
      <c r="D46" s="4">
        <v>21</v>
      </c>
      <c r="E46" s="4" t="b">
        <v>0</v>
      </c>
      <c r="F46" s="4">
        <v>0</v>
      </c>
      <c r="G46" s="4">
        <v>1</v>
      </c>
      <c r="H46" s="4">
        <v>0.26</v>
      </c>
      <c r="I46">
        <f>VLOOKUP(A46,[1]Datasheet_2!$A$2:$H$611,2,FALSE)</f>
        <v>44</v>
      </c>
      <c r="J46">
        <f>VLOOKUP(A46,[1]Datasheet_2!$A$2:$H$611,3,FALSE)</f>
        <v>0.2273</v>
      </c>
      <c r="K46" s="9">
        <f>VLOOKUP(A46,[1]Datasheet_2!$A$2:$H$611,4,FALSE)</f>
        <v>0.44</v>
      </c>
      <c r="L46" s="8">
        <f>VLOOKUP(A46,[1]Datasheet_2!$A$2:$H$611,5,FALSE)</f>
        <v>0.32840000000000003</v>
      </c>
      <c r="M46" s="8">
        <f>VLOOKUP(A46,[1]Datasheet_2!$A$2:$H$611,6,FALSE)</f>
        <v>11</v>
      </c>
      <c r="N46" s="8">
        <f>VLOOKUP(A46,[1]Datasheet_2!$A$2:$H$611,7,FALSE)</f>
        <v>20</v>
      </c>
      <c r="O46" s="9">
        <f>VLOOKUP(A46,[1]Datasheet_2!$A$2:$H$611,8,FALSE)</f>
        <v>31</v>
      </c>
    </row>
    <row r="47" spans="1:15" x14ac:dyDescent="0.3">
      <c r="A47" s="4">
        <v>46</v>
      </c>
      <c r="B47" s="5">
        <v>40545</v>
      </c>
      <c r="C47" s="4">
        <v>1</v>
      </c>
      <c r="D47" s="4">
        <v>22</v>
      </c>
      <c r="E47" s="4" t="b">
        <v>0</v>
      </c>
      <c r="F47" s="4">
        <v>0</v>
      </c>
      <c r="G47" s="4">
        <v>1</v>
      </c>
      <c r="H47" s="4">
        <v>0.24</v>
      </c>
      <c r="I47">
        <f>VLOOKUP(A47,[1]Datasheet_2!$A$2:$H$611,2,FALSE)</f>
        <v>45</v>
      </c>
      <c r="J47">
        <f>VLOOKUP(A47,[1]Datasheet_2!$A$2:$H$611,3,FALSE)</f>
        <v>0.21210000000000001</v>
      </c>
      <c r="K47" s="9">
        <f>VLOOKUP(A47,[1]Datasheet_2!$A$2:$H$611,4,FALSE)</f>
        <v>0.44</v>
      </c>
      <c r="L47" s="8">
        <f>VLOOKUP(A47,[1]Datasheet_2!$A$2:$H$611,5,FALSE)</f>
        <v>0.29849999999999999</v>
      </c>
      <c r="M47" s="8">
        <f>VLOOKUP(A47,[1]Datasheet_2!$A$2:$H$611,6,FALSE)</f>
        <v>0</v>
      </c>
      <c r="N47" s="8">
        <f>VLOOKUP(A47,[1]Datasheet_2!$A$2:$H$611,7,FALSE)</f>
        <v>9</v>
      </c>
      <c r="O47" s="9">
        <f>VLOOKUP(A47,[1]Datasheet_2!$A$2:$H$611,8,FALSE)</f>
        <v>9</v>
      </c>
    </row>
    <row r="48" spans="1:15" x14ac:dyDescent="0.3">
      <c r="A48" s="4">
        <v>47</v>
      </c>
      <c r="B48" s="5">
        <v>40545</v>
      </c>
      <c r="C48" s="4">
        <v>1</v>
      </c>
      <c r="D48" s="4">
        <v>23</v>
      </c>
      <c r="E48" s="4" t="b">
        <v>0</v>
      </c>
      <c r="F48" s="4">
        <v>0</v>
      </c>
      <c r="G48" s="4">
        <v>1</v>
      </c>
      <c r="H48" s="4">
        <v>0.22</v>
      </c>
      <c r="I48">
        <f>VLOOKUP(A48,[1]Datasheet_2!$A$2:$H$611,2,FALSE)</f>
        <v>46</v>
      </c>
      <c r="J48">
        <f>VLOOKUP(A48,[1]Datasheet_2!$A$2:$H$611,3,FALSE)</f>
        <v>0.2273</v>
      </c>
      <c r="K48" s="9">
        <f>VLOOKUP(A48,[1]Datasheet_2!$A$2:$H$611,4,FALSE)</f>
        <v>0.47</v>
      </c>
      <c r="L48" s="8">
        <f>VLOOKUP(A48,[1]Datasheet_2!$A$2:$H$611,5,FALSE)</f>
        <v>0.16420000000000001</v>
      </c>
      <c r="M48" s="8">
        <f>VLOOKUP(A48,[1]Datasheet_2!$A$2:$H$611,6,FALSE)</f>
        <v>0</v>
      </c>
      <c r="N48" s="8">
        <f>VLOOKUP(A48,[1]Datasheet_2!$A$2:$H$611,7,FALSE)</f>
        <v>8</v>
      </c>
      <c r="O48" s="9">
        <f>VLOOKUP(A48,[1]Datasheet_2!$A$2:$H$611,8,FALSE)</f>
        <v>8</v>
      </c>
    </row>
    <row r="49" spans="1:15" x14ac:dyDescent="0.3">
      <c r="A49" s="4">
        <v>48</v>
      </c>
      <c r="B49" s="5">
        <v>40546</v>
      </c>
      <c r="C49" s="4">
        <v>1</v>
      </c>
      <c r="D49" s="4">
        <v>0</v>
      </c>
      <c r="E49" s="4" t="b">
        <v>0</v>
      </c>
      <c r="F49" s="4">
        <v>1</v>
      </c>
      <c r="G49" s="4">
        <v>1</v>
      </c>
      <c r="H49" s="4">
        <v>0.22</v>
      </c>
      <c r="I49">
        <f>VLOOKUP(A49,[1]Datasheet_2!$A$2:$H$611,2,FALSE)</f>
        <v>47</v>
      </c>
      <c r="J49">
        <f>VLOOKUP(A49,[1]Datasheet_2!$A$2:$H$611,3,FALSE)</f>
        <v>0.19700000000000001</v>
      </c>
      <c r="K49" s="9">
        <f>VLOOKUP(A49,[1]Datasheet_2!$A$2:$H$611,4,FALSE)</f>
        <v>0.44</v>
      </c>
      <c r="L49" s="8">
        <f>VLOOKUP(A49,[1]Datasheet_2!$A$2:$H$611,5,FALSE)</f>
        <v>0.35820000000000002</v>
      </c>
      <c r="M49" s="8">
        <f>VLOOKUP(A49,[1]Datasheet_2!$A$2:$H$611,6,FALSE)</f>
        <v>0</v>
      </c>
      <c r="N49" s="8">
        <f>VLOOKUP(A49,[1]Datasheet_2!$A$2:$H$611,7,FALSE)</f>
        <v>5</v>
      </c>
      <c r="O49" s="9">
        <f>VLOOKUP(A49,[1]Datasheet_2!$A$2:$H$611,8,FALSE)</f>
        <v>5</v>
      </c>
    </row>
    <row r="50" spans="1:15" x14ac:dyDescent="0.3">
      <c r="A50" s="4">
        <v>49</v>
      </c>
      <c r="B50" s="5">
        <v>40546</v>
      </c>
      <c r="C50" s="4">
        <v>1</v>
      </c>
      <c r="D50" s="4">
        <v>1</v>
      </c>
      <c r="E50" s="4" t="b">
        <v>0</v>
      </c>
      <c r="F50" s="4">
        <v>1</v>
      </c>
      <c r="G50" s="4">
        <v>1</v>
      </c>
      <c r="H50" s="4">
        <v>0.2</v>
      </c>
      <c r="I50">
        <f>VLOOKUP(A50,[1]Datasheet_2!$A$2:$H$611,2,FALSE)</f>
        <v>48</v>
      </c>
      <c r="J50">
        <f>VLOOKUP(A50,[1]Datasheet_2!$A$2:$H$611,3,FALSE)</f>
        <v>0.19989999999999999</v>
      </c>
      <c r="K50" s="9">
        <f>VLOOKUP(A50,[1]Datasheet_2!$A$2:$H$611,4,FALSE)</f>
        <v>0.44</v>
      </c>
      <c r="L50" s="8">
        <f>VLOOKUP(A50,[1]Datasheet_2!$A$2:$H$611,5,FALSE)</f>
        <v>0.41789999999999999</v>
      </c>
      <c r="M50" s="8">
        <f>VLOOKUP(A50,[1]Datasheet_2!$A$2:$H$611,6,FALSE)</f>
        <v>0</v>
      </c>
      <c r="N50" s="8">
        <f>VLOOKUP(A50,[1]Datasheet_2!$A$2:$H$611,7,FALSE)</f>
        <v>2</v>
      </c>
      <c r="O50" s="9">
        <f>VLOOKUP(A50,[1]Datasheet_2!$A$2:$H$611,8,FALSE)</f>
        <v>2</v>
      </c>
    </row>
    <row r="51" spans="1:15" x14ac:dyDescent="0.3">
      <c r="A51" s="4">
        <v>50</v>
      </c>
      <c r="B51" s="5">
        <v>40546</v>
      </c>
      <c r="C51" s="4">
        <v>1</v>
      </c>
      <c r="D51" s="4">
        <v>4</v>
      </c>
      <c r="E51" s="4" t="b">
        <v>0</v>
      </c>
      <c r="F51" s="4">
        <v>1</v>
      </c>
      <c r="G51" s="4">
        <v>1</v>
      </c>
      <c r="H51" s="4">
        <v>0.16</v>
      </c>
      <c r="I51">
        <f>VLOOKUP(A51,[1]Datasheet_2!$A$2:$H$611,2,FALSE)</f>
        <v>49</v>
      </c>
      <c r="J51">
        <f>VLOOKUP(A51,[1]Datasheet_2!$A$2:$H$611,3,FALSE)</f>
        <v>0.13639999999999999</v>
      </c>
      <c r="K51" s="9">
        <f>VLOOKUP(A51,[1]Datasheet_2!$A$2:$H$611,4,FALSE)</f>
        <v>0.47</v>
      </c>
      <c r="L51" s="8">
        <f>VLOOKUP(A51,[1]Datasheet_2!$A$2:$H$611,5,FALSE)</f>
        <v>0.3881</v>
      </c>
      <c r="M51" s="8">
        <f>VLOOKUP(A51,[1]Datasheet_2!$A$2:$H$611,6,FALSE)</f>
        <v>0</v>
      </c>
      <c r="N51" s="8">
        <f>VLOOKUP(A51,[1]Datasheet_2!$A$2:$H$611,7,FALSE)</f>
        <v>1</v>
      </c>
      <c r="O51" s="9">
        <f>VLOOKUP(A51,[1]Datasheet_2!$A$2:$H$611,8,FALSE)</f>
        <v>1</v>
      </c>
    </row>
    <row r="52" spans="1:15" x14ac:dyDescent="0.3">
      <c r="A52" s="4">
        <v>51</v>
      </c>
      <c r="B52" s="5">
        <v>40546</v>
      </c>
      <c r="C52" s="4">
        <v>1</v>
      </c>
      <c r="D52" s="4">
        <v>5</v>
      </c>
      <c r="E52" s="4" t="b">
        <v>0</v>
      </c>
      <c r="F52" s="4">
        <v>1</v>
      </c>
      <c r="G52" s="4">
        <v>1</v>
      </c>
      <c r="H52" s="4">
        <v>0.16</v>
      </c>
      <c r="I52">
        <f>VLOOKUP(A52,[1]Datasheet_2!$A$2:$H$611,2,FALSE)</f>
        <v>50</v>
      </c>
      <c r="J52">
        <f>VLOOKUP(A52,[1]Datasheet_2!$A$2:$H$611,3,FALSE)</f>
        <v>0.13639999999999999</v>
      </c>
      <c r="K52" s="9">
        <f>VLOOKUP(A52,[1]Datasheet_2!$A$2:$H$611,4,FALSE)</f>
        <v>0.47</v>
      </c>
      <c r="L52" s="8">
        <f>VLOOKUP(A52,[1]Datasheet_2!$A$2:$H$611,5,FALSE)</f>
        <v>0.28360000000000002</v>
      </c>
      <c r="M52" s="8">
        <f>VLOOKUP(A52,[1]Datasheet_2!$A$2:$H$611,6,FALSE)</f>
        <v>0</v>
      </c>
      <c r="N52" s="8">
        <f>VLOOKUP(A52,[1]Datasheet_2!$A$2:$H$611,7,FALSE)</f>
        <v>3</v>
      </c>
      <c r="O52" s="9">
        <f>VLOOKUP(A52,[1]Datasheet_2!$A$2:$H$611,8,FALSE)</f>
        <v>3</v>
      </c>
    </row>
    <row r="53" spans="1:15" x14ac:dyDescent="0.3">
      <c r="A53" s="4">
        <v>52</v>
      </c>
      <c r="B53" s="5">
        <v>40546</v>
      </c>
      <c r="C53" s="4">
        <v>1</v>
      </c>
      <c r="D53" s="4">
        <v>6</v>
      </c>
      <c r="E53" s="4" t="b">
        <v>0</v>
      </c>
      <c r="F53" s="4">
        <v>1</v>
      </c>
      <c r="G53" s="4">
        <v>1</v>
      </c>
      <c r="H53" s="4">
        <v>0.14000000000000001</v>
      </c>
      <c r="I53">
        <f>VLOOKUP(A53,[1]Datasheet_2!$A$2:$H$611,2,FALSE)</f>
        <v>51</v>
      </c>
      <c r="J53">
        <f>VLOOKUP(A53,[1]Datasheet_2!$A$2:$H$611,3,FALSE)</f>
        <v>0.1061</v>
      </c>
      <c r="K53" s="9">
        <f>VLOOKUP(A53,[1]Datasheet_2!$A$2:$H$611,4,FALSE)</f>
        <v>0.5</v>
      </c>
      <c r="L53" s="8">
        <f>VLOOKUP(A53,[1]Datasheet_2!$A$2:$H$611,5,FALSE)</f>
        <v>0.3881</v>
      </c>
      <c r="M53" s="8">
        <f>VLOOKUP(A53,[1]Datasheet_2!$A$2:$H$611,6,FALSE)</f>
        <v>0</v>
      </c>
      <c r="N53" s="8">
        <f>VLOOKUP(A53,[1]Datasheet_2!$A$2:$H$611,7,FALSE)</f>
        <v>30</v>
      </c>
      <c r="O53" s="9">
        <f>VLOOKUP(A53,[1]Datasheet_2!$A$2:$H$611,8,FALSE)</f>
        <v>30</v>
      </c>
    </row>
    <row r="54" spans="1:15" x14ac:dyDescent="0.3">
      <c r="A54" s="4">
        <v>53</v>
      </c>
      <c r="B54" s="5">
        <v>40546</v>
      </c>
      <c r="C54" s="4">
        <v>1</v>
      </c>
      <c r="D54" s="4">
        <v>7</v>
      </c>
      <c r="E54" s="4" t="b">
        <v>0</v>
      </c>
      <c r="F54" s="4">
        <v>1</v>
      </c>
      <c r="G54" s="4">
        <v>1</v>
      </c>
      <c r="H54" s="4">
        <v>0.14000000000000001</v>
      </c>
      <c r="I54">
        <f>VLOOKUP(A54,[1]Datasheet_2!$A$2:$H$611,2,FALSE)</f>
        <v>52</v>
      </c>
      <c r="J54">
        <f>VLOOKUP(A54,[1]Datasheet_2!$A$2:$H$611,3,FALSE)</f>
        <v>0.13639999999999999</v>
      </c>
      <c r="K54" s="9">
        <f>VLOOKUP(A54,[1]Datasheet_2!$A$2:$H$611,4,FALSE)</f>
        <v>0.5</v>
      </c>
      <c r="L54" s="8">
        <f>VLOOKUP(A54,[1]Datasheet_2!$A$2:$H$611,5,FALSE)</f>
        <v>0.19400000000000001</v>
      </c>
      <c r="M54" s="8">
        <f>VLOOKUP(A54,[1]Datasheet_2!$A$2:$H$611,6,FALSE)</f>
        <v>1</v>
      </c>
      <c r="N54" s="8">
        <f>VLOOKUP(A54,[1]Datasheet_2!$A$2:$H$611,7,FALSE)</f>
        <v>63</v>
      </c>
      <c r="O54" s="9">
        <f>VLOOKUP(A54,[1]Datasheet_2!$A$2:$H$611,8,FALSE)</f>
        <v>64</v>
      </c>
    </row>
    <row r="55" spans="1:15" x14ac:dyDescent="0.3">
      <c r="A55" s="4">
        <v>54</v>
      </c>
      <c r="B55" s="5">
        <v>40546</v>
      </c>
      <c r="C55" s="4">
        <v>1</v>
      </c>
      <c r="D55" s="4">
        <v>8</v>
      </c>
      <c r="E55" s="4" t="b">
        <v>0</v>
      </c>
      <c r="F55" s="4">
        <v>1</v>
      </c>
      <c r="G55" s="4">
        <v>1</v>
      </c>
      <c r="H55" s="4">
        <v>0.14000000000000001</v>
      </c>
      <c r="I55">
        <f>VLOOKUP(A55,[1]Datasheet_2!$A$2:$H$611,2,FALSE)</f>
        <v>53</v>
      </c>
      <c r="J55">
        <f>VLOOKUP(A55,[1]Datasheet_2!$A$2:$H$611,3,FALSE)</f>
        <v>0.1212</v>
      </c>
      <c r="K55" s="9">
        <f>VLOOKUP(A55,[1]Datasheet_2!$A$2:$H$611,4,FALSE)</f>
        <v>0.5</v>
      </c>
      <c r="L55" s="8">
        <f>VLOOKUP(A55,[1]Datasheet_2!$A$2:$H$611,5,FALSE)</f>
        <v>0.28360000000000002</v>
      </c>
      <c r="M55" s="8">
        <f>VLOOKUP(A55,[1]Datasheet_2!$A$2:$H$611,6,FALSE)</f>
        <v>1</v>
      </c>
      <c r="N55" s="8">
        <f>VLOOKUP(A55,[1]Datasheet_2!$A$2:$H$611,7,FALSE)</f>
        <v>153</v>
      </c>
      <c r="O55" s="9">
        <f>VLOOKUP(A55,[1]Datasheet_2!$A$2:$H$611,8,FALSE)</f>
        <v>154</v>
      </c>
    </row>
    <row r="56" spans="1:15" x14ac:dyDescent="0.3">
      <c r="A56" s="4">
        <v>55</v>
      </c>
      <c r="B56" s="5">
        <v>40546</v>
      </c>
      <c r="C56" s="4">
        <v>1</v>
      </c>
      <c r="D56" s="4">
        <v>9</v>
      </c>
      <c r="E56" s="4" t="b">
        <v>0</v>
      </c>
      <c r="F56" s="4">
        <v>1</v>
      </c>
      <c r="G56" s="4">
        <v>1</v>
      </c>
      <c r="H56" s="4">
        <v>0.16</v>
      </c>
      <c r="I56">
        <f>VLOOKUP(A56,[1]Datasheet_2!$A$2:$H$611,2,FALSE)</f>
        <v>54</v>
      </c>
      <c r="J56">
        <f>VLOOKUP(A56,[1]Datasheet_2!$A$2:$H$611,3,FALSE)</f>
        <v>0.13639999999999999</v>
      </c>
      <c r="K56" s="9">
        <f>VLOOKUP(A56,[1]Datasheet_2!$A$2:$H$611,4,FALSE)</f>
        <v>0.43</v>
      </c>
      <c r="L56" s="8">
        <f>VLOOKUP(A56,[1]Datasheet_2!$A$2:$H$611,5,FALSE)</f>
        <v>0.3881</v>
      </c>
      <c r="M56" s="8">
        <f>VLOOKUP(A56,[1]Datasheet_2!$A$2:$H$611,6,FALSE)</f>
        <v>7</v>
      </c>
      <c r="N56" s="8">
        <f>VLOOKUP(A56,[1]Datasheet_2!$A$2:$H$611,7,FALSE)</f>
        <v>81</v>
      </c>
      <c r="O56" s="9">
        <f>VLOOKUP(A56,[1]Datasheet_2!$A$2:$H$611,8,FALSE)</f>
        <v>88</v>
      </c>
    </row>
    <row r="57" spans="1:15" x14ac:dyDescent="0.3">
      <c r="A57" s="4">
        <v>56</v>
      </c>
      <c r="B57" s="5">
        <v>40546</v>
      </c>
      <c r="C57" s="4">
        <v>1</v>
      </c>
      <c r="D57" s="4">
        <v>10</v>
      </c>
      <c r="E57" s="4" t="b">
        <v>0</v>
      </c>
      <c r="F57" s="4">
        <v>1</v>
      </c>
      <c r="G57" s="4">
        <v>1</v>
      </c>
      <c r="H57" s="4">
        <v>0.18</v>
      </c>
      <c r="I57">
        <f>VLOOKUP(A57,[1]Datasheet_2!$A$2:$H$611,2,FALSE)</f>
        <v>55</v>
      </c>
      <c r="J57">
        <f>VLOOKUP(A57,[1]Datasheet_2!$A$2:$H$611,3,FALSE)</f>
        <v>0.16669999999999999</v>
      </c>
      <c r="K57" s="9">
        <f>VLOOKUP(A57,[1]Datasheet_2!$A$2:$H$611,4,FALSE)</f>
        <v>0.43</v>
      </c>
      <c r="L57" s="8">
        <f>VLOOKUP(A57,[1]Datasheet_2!$A$2:$H$611,5,FALSE)</f>
        <v>0.25369999999999998</v>
      </c>
      <c r="M57" s="8">
        <f>VLOOKUP(A57,[1]Datasheet_2!$A$2:$H$611,6,FALSE)</f>
        <v>11</v>
      </c>
      <c r="N57" s="8">
        <f>VLOOKUP(A57,[1]Datasheet_2!$A$2:$H$611,7,FALSE)</f>
        <v>33</v>
      </c>
      <c r="O57" s="9">
        <f>VLOOKUP(A57,[1]Datasheet_2!$A$2:$H$611,8,FALSE)</f>
        <v>44</v>
      </c>
    </row>
    <row r="58" spans="1:15" x14ac:dyDescent="0.3">
      <c r="A58" s="4">
        <v>57</v>
      </c>
      <c r="B58" s="5">
        <v>40546</v>
      </c>
      <c r="C58" s="4">
        <v>1</v>
      </c>
      <c r="D58" s="4">
        <v>11</v>
      </c>
      <c r="E58" s="4" t="b">
        <v>0</v>
      </c>
      <c r="F58" s="4">
        <v>1</v>
      </c>
      <c r="G58" s="4">
        <v>1</v>
      </c>
      <c r="H58" s="4">
        <v>0.2</v>
      </c>
      <c r="I58">
        <f>VLOOKUP(A58,[1]Datasheet_2!$A$2:$H$611,2,FALSE)</f>
        <v>56</v>
      </c>
      <c r="J58">
        <f>VLOOKUP(A58,[1]Datasheet_2!$A$2:$H$611,3,FALSE)</f>
        <v>0.18179999999999999</v>
      </c>
      <c r="K58" s="9">
        <f>VLOOKUP(A58,[1]Datasheet_2!$A$2:$H$611,4,FALSE)</f>
        <v>0.4</v>
      </c>
      <c r="L58" s="8">
        <f>VLOOKUP(A58,[1]Datasheet_2!$A$2:$H$611,5,FALSE)</f>
        <v>0.32840000000000003</v>
      </c>
      <c r="M58" s="8">
        <f>VLOOKUP(A58,[1]Datasheet_2!$A$2:$H$611,6,FALSE)</f>
        <v>10</v>
      </c>
      <c r="N58" s="8">
        <f>VLOOKUP(A58,[1]Datasheet_2!$A$2:$H$611,7,FALSE)</f>
        <v>41</v>
      </c>
      <c r="O58" s="9">
        <f>VLOOKUP(A58,[1]Datasheet_2!$A$2:$H$611,8,FALSE)</f>
        <v>51</v>
      </c>
    </row>
    <row r="59" spans="1:15" x14ac:dyDescent="0.3">
      <c r="A59" s="4">
        <v>58</v>
      </c>
      <c r="B59" s="5">
        <v>40546</v>
      </c>
      <c r="C59" s="4">
        <v>1</v>
      </c>
      <c r="D59" s="4">
        <v>12</v>
      </c>
      <c r="E59" s="4" t="b">
        <v>0</v>
      </c>
      <c r="F59" s="4">
        <v>1</v>
      </c>
      <c r="G59" s="4">
        <v>1</v>
      </c>
      <c r="H59" s="4">
        <v>0.22</v>
      </c>
      <c r="I59">
        <f>VLOOKUP(A59,[1]Datasheet_2!$A$2:$H$611,2,FALSE)</f>
        <v>57</v>
      </c>
      <c r="J59">
        <f>VLOOKUP(A59,[1]Datasheet_2!$A$2:$H$611,3,FALSE)</f>
        <v>0.21210000000000001</v>
      </c>
      <c r="K59" s="9">
        <f>VLOOKUP(A59,[1]Datasheet_2!$A$2:$H$611,4,FALSE)</f>
        <v>0.35</v>
      </c>
      <c r="L59" s="8">
        <f>VLOOKUP(A59,[1]Datasheet_2!$A$2:$H$611,5,FALSE)</f>
        <v>0.29849999999999999</v>
      </c>
      <c r="M59" s="8">
        <f>VLOOKUP(A59,[1]Datasheet_2!$A$2:$H$611,6,FALSE)</f>
        <v>13</v>
      </c>
      <c r="N59" s="8">
        <f>VLOOKUP(A59,[1]Datasheet_2!$A$2:$H$611,7,FALSE)</f>
        <v>48</v>
      </c>
      <c r="O59" s="9">
        <f>VLOOKUP(A59,[1]Datasheet_2!$A$2:$H$611,8,FALSE)</f>
        <v>61</v>
      </c>
    </row>
    <row r="60" spans="1:15" x14ac:dyDescent="0.3">
      <c r="A60" s="4">
        <v>59</v>
      </c>
      <c r="B60" s="5">
        <v>40546</v>
      </c>
      <c r="C60" s="4">
        <v>1</v>
      </c>
      <c r="D60" s="4">
        <v>13</v>
      </c>
      <c r="E60" s="4" t="b">
        <v>0</v>
      </c>
      <c r="F60" s="4">
        <v>1</v>
      </c>
      <c r="G60" s="4">
        <v>1</v>
      </c>
      <c r="H60" s="4">
        <v>0.24</v>
      </c>
      <c r="I60">
        <f>VLOOKUP(A60,[1]Datasheet_2!$A$2:$H$611,2,FALSE)</f>
        <v>58</v>
      </c>
      <c r="J60">
        <f>VLOOKUP(A60,[1]Datasheet_2!$A$2:$H$611,3,FALSE)</f>
        <v>0.19989999999999999</v>
      </c>
      <c r="K60" s="9">
        <f>VLOOKUP(A60,[1]Datasheet_2!$A$2:$H$611,4,FALSE)</f>
        <v>0.35</v>
      </c>
      <c r="L60" s="8">
        <f>VLOOKUP(A60,[1]Datasheet_2!$A$2:$H$611,5,FALSE)</f>
        <v>0.28360000000000002</v>
      </c>
      <c r="M60" s="8">
        <f>VLOOKUP(A60,[1]Datasheet_2!$A$2:$H$611,6,FALSE)</f>
        <v>8</v>
      </c>
      <c r="N60" s="8">
        <f>VLOOKUP(A60,[1]Datasheet_2!$A$2:$H$611,7,FALSE)</f>
        <v>53</v>
      </c>
      <c r="O60" s="9">
        <f>VLOOKUP(A60,[1]Datasheet_2!$A$2:$H$611,8,FALSE)</f>
        <v>61</v>
      </c>
    </row>
    <row r="61" spans="1:15" x14ac:dyDescent="0.3">
      <c r="A61" s="4">
        <v>60</v>
      </c>
      <c r="B61" s="5">
        <v>40546</v>
      </c>
      <c r="C61" s="4">
        <v>1</v>
      </c>
      <c r="D61" s="4">
        <v>14</v>
      </c>
      <c r="E61" s="4" t="b">
        <v>0</v>
      </c>
      <c r="F61" s="4">
        <v>1</v>
      </c>
      <c r="G61" s="4">
        <v>1</v>
      </c>
      <c r="H61" s="4">
        <v>0.26</v>
      </c>
      <c r="I61">
        <f>VLOOKUP(A61,[1]Datasheet_2!$A$2:$H$611,2,FALSE)</f>
        <v>59</v>
      </c>
      <c r="J61">
        <f>VLOOKUP(A61,[1]Datasheet_2!$A$2:$H$611,3,FALSE)</f>
        <v>0.2424</v>
      </c>
      <c r="K61" s="9">
        <f>VLOOKUP(A61,[1]Datasheet_2!$A$2:$H$611,4,FALSE)</f>
        <v>0.3</v>
      </c>
      <c r="L61" s="8">
        <f>VLOOKUP(A61,[1]Datasheet_2!$A$2:$H$611,5,FALSE)</f>
        <v>0.28360000000000002</v>
      </c>
      <c r="M61" s="8">
        <f>VLOOKUP(A61,[1]Datasheet_2!$A$2:$H$611,6,FALSE)</f>
        <v>11</v>
      </c>
      <c r="N61" s="8">
        <f>VLOOKUP(A61,[1]Datasheet_2!$A$2:$H$611,7,FALSE)</f>
        <v>66</v>
      </c>
      <c r="O61" s="9">
        <f>VLOOKUP(A61,[1]Datasheet_2!$A$2:$H$611,8,FALSE)</f>
        <v>77</v>
      </c>
    </row>
    <row r="62" spans="1:15" x14ac:dyDescent="0.3">
      <c r="A62" s="4">
        <v>61</v>
      </c>
      <c r="B62" s="5">
        <v>40546</v>
      </c>
      <c r="C62" s="4">
        <v>1</v>
      </c>
      <c r="D62" s="4">
        <v>15</v>
      </c>
      <c r="E62" s="4" t="b">
        <v>0</v>
      </c>
      <c r="F62" s="4">
        <v>1</v>
      </c>
      <c r="G62" s="4">
        <v>1</v>
      </c>
      <c r="H62" s="4">
        <v>0.26</v>
      </c>
      <c r="I62">
        <f>VLOOKUP(A62,[1]Datasheet_2!$A$2:$H$611,2,FALSE)</f>
        <v>60</v>
      </c>
      <c r="J62">
        <f>VLOOKUP(A62,[1]Datasheet_2!$A$2:$H$611,3,FALSE)</f>
        <v>0.2424</v>
      </c>
      <c r="K62" s="9">
        <f>VLOOKUP(A62,[1]Datasheet_2!$A$2:$H$611,4,FALSE)</f>
        <v>0.3</v>
      </c>
      <c r="L62" s="8">
        <f>VLOOKUP(A62,[1]Datasheet_2!$A$2:$H$611,5,FALSE)</f>
        <v>0.25369999999999998</v>
      </c>
      <c r="M62" s="8">
        <f>VLOOKUP(A62,[1]Datasheet_2!$A$2:$H$611,6,FALSE)</f>
        <v>14</v>
      </c>
      <c r="N62" s="8">
        <f>VLOOKUP(A62,[1]Datasheet_2!$A$2:$H$611,7,FALSE)</f>
        <v>58</v>
      </c>
      <c r="O62" s="9">
        <f>VLOOKUP(A62,[1]Datasheet_2!$A$2:$H$611,8,FALSE)</f>
        <v>72</v>
      </c>
    </row>
    <row r="63" spans="1:15" x14ac:dyDescent="0.3">
      <c r="A63" s="4">
        <v>62</v>
      </c>
      <c r="B63" s="5">
        <v>40546</v>
      </c>
      <c r="C63" s="4">
        <v>1</v>
      </c>
      <c r="D63" s="4">
        <v>16</v>
      </c>
      <c r="E63" s="4" t="b">
        <v>0</v>
      </c>
      <c r="F63" s="4">
        <v>1</v>
      </c>
      <c r="G63" s="4">
        <v>1</v>
      </c>
      <c r="H63" s="4">
        <v>0.26</v>
      </c>
      <c r="I63">
        <f>VLOOKUP(A63,[1]Datasheet_2!$A$2:$H$611,2,FALSE)</f>
        <v>61</v>
      </c>
      <c r="J63">
        <f>VLOOKUP(A63,[1]Datasheet_2!$A$2:$H$611,3,FALSE)</f>
        <v>0.2424</v>
      </c>
      <c r="K63" s="9">
        <f>VLOOKUP(A63,[1]Datasheet_2!$A$2:$H$611,4,FALSE)</f>
        <v>0.3</v>
      </c>
      <c r="L63" s="8">
        <f>VLOOKUP(A63,[1]Datasheet_2!$A$2:$H$611,5,FALSE)</f>
        <v>0.25369999999999998</v>
      </c>
      <c r="M63" s="8">
        <f>VLOOKUP(A63,[1]Datasheet_2!$A$2:$H$611,6,FALSE)</f>
        <v>9</v>
      </c>
      <c r="N63" s="8">
        <f>VLOOKUP(A63,[1]Datasheet_2!$A$2:$H$611,7,FALSE)</f>
        <v>67</v>
      </c>
      <c r="O63" s="9">
        <f>VLOOKUP(A63,[1]Datasheet_2!$A$2:$H$611,8,FALSE)</f>
        <v>76</v>
      </c>
    </row>
    <row r="64" spans="1:15" x14ac:dyDescent="0.3">
      <c r="A64" s="4">
        <v>63</v>
      </c>
      <c r="B64" s="5">
        <v>40546</v>
      </c>
      <c r="C64" s="4">
        <v>1</v>
      </c>
      <c r="D64" s="4">
        <v>17</v>
      </c>
      <c r="E64" s="4" t="b">
        <v>0</v>
      </c>
      <c r="F64" s="4">
        <v>1</v>
      </c>
      <c r="G64" s="4">
        <v>1</v>
      </c>
      <c r="H64" s="4">
        <v>0.24</v>
      </c>
      <c r="I64">
        <f>VLOOKUP(A64,[1]Datasheet_2!$A$2:$H$611,2,FALSE)</f>
        <v>62</v>
      </c>
      <c r="J64">
        <f>VLOOKUP(A64,[1]Datasheet_2!$A$2:$H$611,3,FALSE)</f>
        <v>0.2273</v>
      </c>
      <c r="K64" s="9">
        <f>VLOOKUP(A64,[1]Datasheet_2!$A$2:$H$611,4,FALSE)</f>
        <v>0.3</v>
      </c>
      <c r="L64" s="8">
        <f>VLOOKUP(A64,[1]Datasheet_2!$A$2:$H$611,5,FALSE)</f>
        <v>0.22389999999999999</v>
      </c>
      <c r="M64" s="8">
        <f>VLOOKUP(A64,[1]Datasheet_2!$A$2:$H$611,6,FALSE)</f>
        <v>11</v>
      </c>
      <c r="N64" s="8">
        <f>VLOOKUP(A64,[1]Datasheet_2!$A$2:$H$611,7,FALSE)</f>
        <v>146</v>
      </c>
      <c r="O64" s="9">
        <f>VLOOKUP(A64,[1]Datasheet_2!$A$2:$H$611,8,FALSE)</f>
        <v>157</v>
      </c>
    </row>
    <row r="65" spans="1:15" x14ac:dyDescent="0.3">
      <c r="A65" s="4">
        <v>64</v>
      </c>
      <c r="B65" s="5">
        <v>40546</v>
      </c>
      <c r="C65" s="4">
        <v>1</v>
      </c>
      <c r="D65" s="4">
        <v>18</v>
      </c>
      <c r="E65" s="4" t="b">
        <v>0</v>
      </c>
      <c r="F65" s="4">
        <v>1</v>
      </c>
      <c r="G65" s="4">
        <v>1</v>
      </c>
      <c r="H65" s="4">
        <v>0.24</v>
      </c>
      <c r="I65">
        <f>VLOOKUP(A65,[1]Datasheet_2!$A$2:$H$611,2,FALSE)</f>
        <v>63</v>
      </c>
      <c r="J65">
        <f>VLOOKUP(A65,[1]Datasheet_2!$A$2:$H$611,3,FALSE)</f>
        <v>0.2576</v>
      </c>
      <c r="K65" s="9">
        <f>VLOOKUP(A65,[1]Datasheet_2!$A$2:$H$611,4,FALSE)</f>
        <v>0.32</v>
      </c>
      <c r="L65" s="8">
        <f>VLOOKUP(A65,[1]Datasheet_2!$A$2:$H$611,5,FALSE)</f>
        <v>0.1045</v>
      </c>
      <c r="M65" s="8">
        <f>VLOOKUP(A65,[1]Datasheet_2!$A$2:$H$611,6,FALSE)</f>
        <v>9</v>
      </c>
      <c r="N65" s="8">
        <f>VLOOKUP(A65,[1]Datasheet_2!$A$2:$H$611,7,FALSE)</f>
        <v>148</v>
      </c>
      <c r="O65" s="9">
        <f>VLOOKUP(A65,[1]Datasheet_2!$A$2:$H$611,8,FALSE)</f>
        <v>157</v>
      </c>
    </row>
    <row r="66" spans="1:15" x14ac:dyDescent="0.3">
      <c r="A66" s="4">
        <v>65</v>
      </c>
      <c r="B66" s="5">
        <v>40546</v>
      </c>
      <c r="C66" s="4">
        <v>1</v>
      </c>
      <c r="D66" s="4">
        <v>19</v>
      </c>
      <c r="E66" s="4" t="b">
        <v>0</v>
      </c>
      <c r="F66" s="4">
        <v>1</v>
      </c>
      <c r="G66" s="4">
        <v>1</v>
      </c>
      <c r="H66" s="4">
        <v>0.2</v>
      </c>
      <c r="I66">
        <f>VLOOKUP(A66,[1]Datasheet_2!$A$2:$H$611,2,FALSE)</f>
        <v>64</v>
      </c>
      <c r="J66">
        <f>VLOOKUP(A66,[1]Datasheet_2!$A$2:$H$611,3,FALSE)</f>
        <v>0.2576</v>
      </c>
      <c r="K66" s="9">
        <f>VLOOKUP(A66,[1]Datasheet_2!$A$2:$H$611,4,FALSE)</f>
        <v>0.47</v>
      </c>
      <c r="L66" s="8">
        <f>VLOOKUP(A66,[1]Datasheet_2!$A$2:$H$611,5,FALSE)</f>
        <v>0</v>
      </c>
      <c r="M66" s="8">
        <f>VLOOKUP(A66,[1]Datasheet_2!$A$2:$H$611,6,FALSE)</f>
        <v>8</v>
      </c>
      <c r="N66" s="8">
        <f>VLOOKUP(A66,[1]Datasheet_2!$A$2:$H$611,7,FALSE)</f>
        <v>102</v>
      </c>
      <c r="O66" s="9">
        <f>VLOOKUP(A66,[1]Datasheet_2!$A$2:$H$611,8,FALSE)</f>
        <v>110</v>
      </c>
    </row>
    <row r="67" spans="1:15" x14ac:dyDescent="0.3">
      <c r="A67" s="4">
        <v>66</v>
      </c>
      <c r="B67" s="5">
        <v>40546</v>
      </c>
      <c r="C67" s="4">
        <v>1</v>
      </c>
      <c r="D67" s="4">
        <v>20</v>
      </c>
      <c r="E67" s="4" t="b">
        <v>0</v>
      </c>
      <c r="F67" s="4">
        <v>1</v>
      </c>
      <c r="G67" s="4">
        <v>1</v>
      </c>
      <c r="H67" s="4">
        <v>0.2</v>
      </c>
      <c r="I67">
        <f>VLOOKUP(A67,[1]Datasheet_2!$A$2:$H$611,2,FALSE)</f>
        <v>65</v>
      </c>
      <c r="J67">
        <f>VLOOKUP(A67,[1]Datasheet_2!$A$2:$H$611,3,FALSE)</f>
        <v>0.19989999999999999</v>
      </c>
      <c r="K67" s="9">
        <f>VLOOKUP(A67,[1]Datasheet_2!$A$2:$H$611,4,FALSE)</f>
        <v>0.47</v>
      </c>
      <c r="L67" s="8">
        <f>VLOOKUP(A67,[1]Datasheet_2!$A$2:$H$611,5,FALSE)</f>
        <v>0.1045</v>
      </c>
      <c r="M67" s="8">
        <f>VLOOKUP(A67,[1]Datasheet_2!$A$2:$H$611,6,FALSE)</f>
        <v>3</v>
      </c>
      <c r="N67" s="8">
        <f>VLOOKUP(A67,[1]Datasheet_2!$A$2:$H$611,7,FALSE)</f>
        <v>49</v>
      </c>
      <c r="O67" s="9">
        <f>VLOOKUP(A67,[1]Datasheet_2!$A$2:$H$611,8,FALSE)</f>
        <v>52</v>
      </c>
    </row>
    <row r="68" spans="1:15" x14ac:dyDescent="0.3">
      <c r="A68" s="4">
        <v>67</v>
      </c>
      <c r="B68" s="5">
        <v>40546</v>
      </c>
      <c r="C68" s="4">
        <v>1</v>
      </c>
      <c r="D68" s="4">
        <v>21</v>
      </c>
      <c r="E68" s="4" t="b">
        <v>0</v>
      </c>
      <c r="F68" s="4">
        <v>1</v>
      </c>
      <c r="G68" s="4">
        <v>1</v>
      </c>
      <c r="H68" s="4">
        <v>0.18</v>
      </c>
      <c r="I68">
        <f>VLOOKUP(A68,[1]Datasheet_2!$A$2:$H$611,2,FALSE)</f>
        <v>66</v>
      </c>
      <c r="J68">
        <f>VLOOKUP(A68,[1]Datasheet_2!$A$2:$H$611,3,FALSE)</f>
        <v>0.19700000000000001</v>
      </c>
      <c r="K68" s="9">
        <f>VLOOKUP(A68,[1]Datasheet_2!$A$2:$H$611,4,FALSE)</f>
        <v>0.64</v>
      </c>
      <c r="L68" s="8">
        <f>VLOOKUP(A68,[1]Datasheet_2!$A$2:$H$611,5,FALSE)</f>
        <v>0.1343</v>
      </c>
      <c r="M68" s="8">
        <f>VLOOKUP(A68,[1]Datasheet_2!$A$2:$H$611,6,FALSE)</f>
        <v>3</v>
      </c>
      <c r="N68" s="8">
        <f>VLOOKUP(A68,[1]Datasheet_2!$A$2:$H$611,7,FALSE)</f>
        <v>49</v>
      </c>
      <c r="O68" s="9">
        <f>VLOOKUP(A68,[1]Datasheet_2!$A$2:$H$611,8,FALSE)</f>
        <v>52</v>
      </c>
    </row>
    <row r="69" spans="1:15" x14ac:dyDescent="0.3">
      <c r="A69" s="4">
        <v>68</v>
      </c>
      <c r="B69" s="5">
        <v>40546</v>
      </c>
      <c r="C69" s="4">
        <v>1</v>
      </c>
      <c r="D69" s="4">
        <v>22</v>
      </c>
      <c r="E69" s="4" t="b">
        <v>0</v>
      </c>
      <c r="F69" s="4">
        <v>1</v>
      </c>
      <c r="G69" s="4">
        <v>1</v>
      </c>
      <c r="H69" s="4">
        <v>0.14000000000000001</v>
      </c>
      <c r="I69">
        <f>VLOOKUP(A69,[1]Datasheet_2!$A$2:$H$611,2,FALSE)</f>
        <v>67</v>
      </c>
      <c r="J69">
        <f>VLOOKUP(A69,[1]Datasheet_2!$A$2:$H$611,3,FALSE)</f>
        <v>0.1515</v>
      </c>
      <c r="K69" s="9">
        <f>VLOOKUP(A69,[1]Datasheet_2!$A$2:$H$611,4,FALSE)</f>
        <v>0.69</v>
      </c>
      <c r="L69" s="8">
        <f>VLOOKUP(A69,[1]Datasheet_2!$A$2:$H$611,5,FALSE)</f>
        <v>0.1343</v>
      </c>
      <c r="M69" s="8">
        <f>VLOOKUP(A69,[1]Datasheet_2!$A$2:$H$611,6,FALSE)</f>
        <v>0</v>
      </c>
      <c r="N69" s="8">
        <f>VLOOKUP(A69,[1]Datasheet_2!$A$2:$H$611,7,FALSE)</f>
        <v>20</v>
      </c>
      <c r="O69" s="9">
        <f>VLOOKUP(A69,[1]Datasheet_2!$A$2:$H$611,8,FALSE)</f>
        <v>20</v>
      </c>
    </row>
    <row r="70" spans="1:15" x14ac:dyDescent="0.3">
      <c r="A70" s="4">
        <v>69</v>
      </c>
      <c r="B70" s="5">
        <v>40546</v>
      </c>
      <c r="C70" s="4">
        <v>1</v>
      </c>
      <c r="D70" s="4">
        <v>23</v>
      </c>
      <c r="E70" s="4" t="b">
        <v>0</v>
      </c>
      <c r="F70" s="4">
        <v>1</v>
      </c>
      <c r="G70" s="4">
        <v>1</v>
      </c>
      <c r="H70" s="4">
        <v>0.18</v>
      </c>
      <c r="I70">
        <f>VLOOKUP(A70,[1]Datasheet_2!$A$2:$H$611,2,FALSE)</f>
        <v>68</v>
      </c>
      <c r="J70">
        <f>VLOOKUP(A70,[1]Datasheet_2!$A$2:$H$611,3,FALSE)</f>
        <v>0.21210000000000001</v>
      </c>
      <c r="K70" s="9">
        <f>VLOOKUP(A70,[1]Datasheet_2!$A$2:$H$611,4,FALSE)</f>
        <v>0.55000000000000004</v>
      </c>
      <c r="L70" s="8">
        <f>VLOOKUP(A70,[1]Datasheet_2!$A$2:$H$611,5,FALSE)</f>
        <v>0.1045</v>
      </c>
      <c r="M70" s="8">
        <f>VLOOKUP(A70,[1]Datasheet_2!$A$2:$H$611,6,FALSE)</f>
        <v>1</v>
      </c>
      <c r="N70" s="8">
        <f>VLOOKUP(A70,[1]Datasheet_2!$A$2:$H$611,7,FALSE)</f>
        <v>11</v>
      </c>
      <c r="O70" s="9">
        <f>VLOOKUP(A70,[1]Datasheet_2!$A$2:$H$611,8,FALSE)</f>
        <v>12</v>
      </c>
    </row>
    <row r="71" spans="1:15" x14ac:dyDescent="0.3">
      <c r="A71" s="4">
        <v>70</v>
      </c>
      <c r="B71" s="5">
        <v>40547</v>
      </c>
      <c r="C71" s="4">
        <v>1</v>
      </c>
      <c r="D71" s="4">
        <v>0</v>
      </c>
      <c r="E71" s="4" t="b">
        <v>0</v>
      </c>
      <c r="F71" s="4">
        <v>2</v>
      </c>
      <c r="G71" s="4">
        <v>1</v>
      </c>
      <c r="H71" s="4">
        <v>0.16</v>
      </c>
      <c r="I71">
        <f>VLOOKUP(A71,[1]Datasheet_2!$A$2:$H$611,2,FALSE)</f>
        <v>69</v>
      </c>
      <c r="J71">
        <f>VLOOKUP(A71,[1]Datasheet_2!$A$2:$H$611,3,FALSE)</f>
        <v>0.19989999999999999</v>
      </c>
      <c r="K71" s="9">
        <f>VLOOKUP(A71,[1]Datasheet_2!$A$2:$H$611,4,FALSE)</f>
        <v>0.55000000000000004</v>
      </c>
      <c r="L71" s="8">
        <f>VLOOKUP(A71,[1]Datasheet_2!$A$2:$H$611,5,FALSE)</f>
        <v>0.1045</v>
      </c>
      <c r="M71" s="8">
        <f>VLOOKUP(A71,[1]Datasheet_2!$A$2:$H$611,6,FALSE)</f>
        <v>0</v>
      </c>
      <c r="N71" s="8">
        <f>VLOOKUP(A71,[1]Datasheet_2!$A$2:$H$611,7,FALSE)</f>
        <v>5</v>
      </c>
      <c r="O71" s="9">
        <f>VLOOKUP(A71,[1]Datasheet_2!$A$2:$H$611,8,FALSE)</f>
        <v>5</v>
      </c>
    </row>
    <row r="72" spans="1:15" x14ac:dyDescent="0.3">
      <c r="A72" s="4">
        <v>71</v>
      </c>
      <c r="B72" s="5">
        <v>40547</v>
      </c>
      <c r="C72" s="4">
        <v>1</v>
      </c>
      <c r="D72" s="4">
        <v>1</v>
      </c>
      <c r="E72" s="4" t="b">
        <v>0</v>
      </c>
      <c r="F72" s="4">
        <v>2</v>
      </c>
      <c r="G72" s="4">
        <v>1</v>
      </c>
      <c r="H72" s="4">
        <v>0.16</v>
      </c>
      <c r="I72">
        <f>VLOOKUP(A72,[1]Datasheet_2!$A$2:$H$611,2,FALSE)</f>
        <v>70</v>
      </c>
      <c r="J72">
        <f>VLOOKUP(A72,[1]Datasheet_2!$A$2:$H$611,3,FALSE)</f>
        <v>0.18179999999999999</v>
      </c>
      <c r="K72" s="9">
        <f>VLOOKUP(A72,[1]Datasheet_2!$A$2:$H$611,4,FALSE)</f>
        <v>0.59</v>
      </c>
      <c r="L72" s="8">
        <f>VLOOKUP(A72,[1]Datasheet_2!$A$2:$H$611,5,FALSE)</f>
        <v>0.1045</v>
      </c>
      <c r="M72" s="8">
        <f>VLOOKUP(A72,[1]Datasheet_2!$A$2:$H$611,6,FALSE)</f>
        <v>0</v>
      </c>
      <c r="N72" s="8">
        <f>VLOOKUP(A72,[1]Datasheet_2!$A$2:$H$611,7,FALSE)</f>
        <v>2</v>
      </c>
      <c r="O72" s="9">
        <f>VLOOKUP(A72,[1]Datasheet_2!$A$2:$H$611,8,FALSE)</f>
        <v>2</v>
      </c>
    </row>
    <row r="73" spans="1:15" x14ac:dyDescent="0.3">
      <c r="A73" s="4">
        <v>72</v>
      </c>
      <c r="B73" s="5">
        <v>40547</v>
      </c>
      <c r="C73" s="4">
        <v>1</v>
      </c>
      <c r="D73" s="4">
        <v>2</v>
      </c>
      <c r="E73" s="4" t="b">
        <v>0</v>
      </c>
      <c r="F73" s="4">
        <v>2</v>
      </c>
      <c r="G73" s="4">
        <v>1</v>
      </c>
      <c r="H73" s="4">
        <v>0.14000000000000001</v>
      </c>
      <c r="I73">
        <f>VLOOKUP(A73,[1]Datasheet_2!$A$2:$H$611,2,FALSE)</f>
        <v>71</v>
      </c>
      <c r="J73">
        <f>VLOOKUP(A73,[1]Datasheet_2!$A$2:$H$611,3,FALSE)</f>
        <v>0.1515</v>
      </c>
      <c r="K73" s="9">
        <f>VLOOKUP(A73,[1]Datasheet_2!$A$2:$H$611,4,FALSE)</f>
        <v>0.63</v>
      </c>
      <c r="L73" s="8">
        <f>VLOOKUP(A73,[1]Datasheet_2!$A$2:$H$611,5,FALSE)</f>
        <v>0.1343</v>
      </c>
      <c r="M73" s="8">
        <f>VLOOKUP(A73,[1]Datasheet_2!$A$2:$H$611,6,FALSE)</f>
        <v>0</v>
      </c>
      <c r="N73" s="8">
        <f>VLOOKUP(A73,[1]Datasheet_2!$A$2:$H$611,7,FALSE)</f>
        <v>1</v>
      </c>
      <c r="O73" s="9">
        <f>VLOOKUP(A73,[1]Datasheet_2!$A$2:$H$611,8,FALSE)</f>
        <v>1</v>
      </c>
    </row>
    <row r="74" spans="1:15" x14ac:dyDescent="0.3">
      <c r="A74" s="4">
        <v>73</v>
      </c>
      <c r="B74" s="5">
        <v>40547</v>
      </c>
      <c r="C74" s="4">
        <v>1</v>
      </c>
      <c r="D74" s="4">
        <v>4</v>
      </c>
      <c r="E74" s="4" t="b">
        <v>0</v>
      </c>
      <c r="F74" s="4">
        <v>2</v>
      </c>
      <c r="G74" s="4">
        <v>1</v>
      </c>
      <c r="H74" s="4">
        <v>0.14000000000000001</v>
      </c>
      <c r="I74">
        <f>VLOOKUP(A74,[1]Datasheet_2!$A$2:$H$611,2,FALSE)</f>
        <v>72</v>
      </c>
      <c r="J74">
        <f>VLOOKUP(A74,[1]Datasheet_2!$A$2:$H$611,3,FALSE)</f>
        <v>0.18179999999999999</v>
      </c>
      <c r="K74" s="9">
        <f>VLOOKUP(A74,[1]Datasheet_2!$A$2:$H$611,4,FALSE)</f>
        <v>0.63</v>
      </c>
      <c r="L74" s="8">
        <f>VLOOKUP(A74,[1]Datasheet_2!$A$2:$H$611,5,FALSE)</f>
        <v>8.9599999999999999E-2</v>
      </c>
      <c r="M74" s="8">
        <f>VLOOKUP(A74,[1]Datasheet_2!$A$2:$H$611,6,FALSE)</f>
        <v>0</v>
      </c>
      <c r="N74" s="8">
        <f>VLOOKUP(A74,[1]Datasheet_2!$A$2:$H$611,7,FALSE)</f>
        <v>2</v>
      </c>
      <c r="O74" s="9">
        <f>VLOOKUP(A74,[1]Datasheet_2!$A$2:$H$611,8,FALSE)</f>
        <v>2</v>
      </c>
    </row>
    <row r="75" spans="1:15" x14ac:dyDescent="0.3">
      <c r="A75" s="4">
        <v>74</v>
      </c>
      <c r="B75" s="5">
        <v>40547</v>
      </c>
      <c r="C75" s="4">
        <v>1</v>
      </c>
      <c r="D75" s="4">
        <v>5</v>
      </c>
      <c r="E75" s="4" t="b">
        <v>0</v>
      </c>
      <c r="F75" s="4">
        <v>2</v>
      </c>
      <c r="G75" s="4">
        <v>1</v>
      </c>
      <c r="H75" s="4">
        <v>0.12</v>
      </c>
      <c r="I75">
        <f>VLOOKUP(A75,[1]Datasheet_2!$A$2:$H$611,2,FALSE)</f>
        <v>73</v>
      </c>
      <c r="J75">
        <f>VLOOKUP(A75,[1]Datasheet_2!$A$2:$H$611,3,FALSE)</f>
        <v>0.1515</v>
      </c>
      <c r="K75" s="9">
        <f>VLOOKUP(A75,[1]Datasheet_2!$A$2:$H$611,4,FALSE)</f>
        <v>0.68</v>
      </c>
      <c r="L75" s="8">
        <f>VLOOKUP(A75,[1]Datasheet_2!$A$2:$H$611,5,FALSE)</f>
        <v>0.1045</v>
      </c>
      <c r="M75" s="8">
        <f>VLOOKUP(A75,[1]Datasheet_2!$A$2:$H$611,6,FALSE)</f>
        <v>0</v>
      </c>
      <c r="N75" s="8">
        <f>VLOOKUP(A75,[1]Datasheet_2!$A$2:$H$611,7,FALSE)</f>
        <v>4</v>
      </c>
      <c r="O75" s="9">
        <f>VLOOKUP(A75,[1]Datasheet_2!$A$2:$H$611,8,FALSE)</f>
        <v>4</v>
      </c>
    </row>
    <row r="76" spans="1:15" x14ac:dyDescent="0.3">
      <c r="A76" s="4">
        <v>75</v>
      </c>
      <c r="B76" s="5">
        <v>40547</v>
      </c>
      <c r="C76" s="4">
        <v>1</v>
      </c>
      <c r="D76" s="4">
        <v>6</v>
      </c>
      <c r="E76" s="4" t="b">
        <v>0</v>
      </c>
      <c r="F76" s="4">
        <v>2</v>
      </c>
      <c r="G76" s="4">
        <v>1</v>
      </c>
      <c r="H76" s="4">
        <v>0.12</v>
      </c>
      <c r="I76">
        <f>VLOOKUP(A76,[1]Datasheet_2!$A$2:$H$611,2,FALSE)</f>
        <v>74</v>
      </c>
      <c r="J76">
        <f>VLOOKUP(A76,[1]Datasheet_2!$A$2:$H$611,3,FALSE)</f>
        <v>0.1515</v>
      </c>
      <c r="K76" s="9">
        <f>VLOOKUP(A76,[1]Datasheet_2!$A$2:$H$611,4,FALSE)</f>
        <v>0.74</v>
      </c>
      <c r="L76" s="8">
        <f>VLOOKUP(A76,[1]Datasheet_2!$A$2:$H$611,5,FALSE)</f>
        <v>0.1045</v>
      </c>
      <c r="M76" s="8">
        <f>VLOOKUP(A76,[1]Datasheet_2!$A$2:$H$611,6,FALSE)</f>
        <v>0</v>
      </c>
      <c r="N76" s="8">
        <f>VLOOKUP(A76,[1]Datasheet_2!$A$2:$H$611,7,FALSE)</f>
        <v>36</v>
      </c>
      <c r="O76" s="9">
        <f>VLOOKUP(A76,[1]Datasheet_2!$A$2:$H$611,8,FALSE)</f>
        <v>36</v>
      </c>
    </row>
    <row r="77" spans="1:15" x14ac:dyDescent="0.3">
      <c r="A77" s="4">
        <v>76</v>
      </c>
      <c r="B77" s="5">
        <v>40547</v>
      </c>
      <c r="C77" s="4">
        <v>1</v>
      </c>
      <c r="D77" s="4">
        <v>7</v>
      </c>
      <c r="E77" s="4" t="b">
        <v>0</v>
      </c>
      <c r="F77" s="4">
        <v>2</v>
      </c>
      <c r="G77" s="4">
        <v>1</v>
      </c>
      <c r="H77" s="4">
        <v>0.12</v>
      </c>
      <c r="I77">
        <f>VLOOKUP(A77,[1]Datasheet_2!$A$2:$H$611,2,FALSE)</f>
        <v>75</v>
      </c>
      <c r="J77">
        <f>VLOOKUP(A77,[1]Datasheet_2!$A$2:$H$611,3,FALSE)</f>
        <v>0.1515</v>
      </c>
      <c r="K77" s="9">
        <f>VLOOKUP(A77,[1]Datasheet_2!$A$2:$H$611,4,FALSE)</f>
        <v>0.74</v>
      </c>
      <c r="L77" s="8">
        <f>VLOOKUP(A77,[1]Datasheet_2!$A$2:$H$611,5,FALSE)</f>
        <v>0.1343</v>
      </c>
      <c r="M77" s="8">
        <f>VLOOKUP(A77,[1]Datasheet_2!$A$2:$H$611,6,FALSE)</f>
        <v>2</v>
      </c>
      <c r="N77" s="8">
        <f>VLOOKUP(A77,[1]Datasheet_2!$A$2:$H$611,7,FALSE)</f>
        <v>92</v>
      </c>
      <c r="O77" s="9">
        <f>VLOOKUP(A77,[1]Datasheet_2!$A$2:$H$611,8,FALSE)</f>
        <v>94</v>
      </c>
    </row>
    <row r="78" spans="1:15" x14ac:dyDescent="0.3">
      <c r="A78" s="4">
        <v>77</v>
      </c>
      <c r="B78" s="5">
        <v>40547</v>
      </c>
      <c r="C78" s="4">
        <v>1</v>
      </c>
      <c r="D78" s="4">
        <v>8</v>
      </c>
      <c r="E78" s="4" t="b">
        <v>0</v>
      </c>
      <c r="F78" s="4">
        <v>2</v>
      </c>
      <c r="G78" s="4">
        <v>1</v>
      </c>
      <c r="H78" s="4">
        <v>0.14000000000000001</v>
      </c>
      <c r="I78">
        <f>VLOOKUP(A78,[1]Datasheet_2!$A$2:$H$611,2,FALSE)</f>
        <v>76</v>
      </c>
      <c r="J78">
        <f>VLOOKUP(A78,[1]Datasheet_2!$A$2:$H$611,3,FALSE)</f>
        <v>0.1515</v>
      </c>
      <c r="K78" s="9">
        <f>VLOOKUP(A78,[1]Datasheet_2!$A$2:$H$611,4,FALSE)</f>
        <v>0.69</v>
      </c>
      <c r="L78" s="8">
        <f>VLOOKUP(A78,[1]Datasheet_2!$A$2:$H$611,5,FALSE)</f>
        <v>0.16420000000000001</v>
      </c>
      <c r="M78" s="8">
        <f>VLOOKUP(A78,[1]Datasheet_2!$A$2:$H$611,6,FALSE)</f>
        <v>2</v>
      </c>
      <c r="N78" s="8">
        <f>VLOOKUP(A78,[1]Datasheet_2!$A$2:$H$611,7,FALSE)</f>
        <v>177</v>
      </c>
      <c r="O78" s="9">
        <f>VLOOKUP(A78,[1]Datasheet_2!$A$2:$H$611,8,FALSE)</f>
        <v>179</v>
      </c>
    </row>
    <row r="79" spans="1:15" x14ac:dyDescent="0.3">
      <c r="A79" s="4">
        <v>78</v>
      </c>
      <c r="B79" s="5">
        <v>40547</v>
      </c>
      <c r="C79" s="4">
        <v>1</v>
      </c>
      <c r="D79" s="4">
        <v>9</v>
      </c>
      <c r="E79" s="4" t="b">
        <v>0</v>
      </c>
      <c r="F79" s="4">
        <v>2</v>
      </c>
      <c r="G79" s="4">
        <v>1</v>
      </c>
      <c r="H79" s="4">
        <v>0.16</v>
      </c>
      <c r="I79">
        <f>VLOOKUP(A79,[1]Datasheet_2!$A$2:$H$611,2,FALSE)</f>
        <v>77</v>
      </c>
      <c r="J79">
        <f>VLOOKUP(A79,[1]Datasheet_2!$A$2:$H$611,3,FALSE)</f>
        <v>0.1515</v>
      </c>
      <c r="K79" s="9">
        <f>VLOOKUP(A79,[1]Datasheet_2!$A$2:$H$611,4,FALSE)</f>
        <v>0.64</v>
      </c>
      <c r="L79" s="8">
        <f>VLOOKUP(A79,[1]Datasheet_2!$A$2:$H$611,5,FALSE)</f>
        <v>0.22389999999999999</v>
      </c>
      <c r="M79" s="8">
        <f>VLOOKUP(A79,[1]Datasheet_2!$A$2:$H$611,6,FALSE)</f>
        <v>2</v>
      </c>
      <c r="N79" s="8">
        <f>VLOOKUP(A79,[1]Datasheet_2!$A$2:$H$611,7,FALSE)</f>
        <v>98</v>
      </c>
      <c r="O79" s="9">
        <f>VLOOKUP(A79,[1]Datasheet_2!$A$2:$H$611,8,FALSE)</f>
        <v>100</v>
      </c>
    </row>
    <row r="80" spans="1:15" x14ac:dyDescent="0.3">
      <c r="A80" s="4">
        <v>79</v>
      </c>
      <c r="B80" s="5">
        <v>40547</v>
      </c>
      <c r="C80" s="4">
        <v>1</v>
      </c>
      <c r="D80" s="4">
        <v>10</v>
      </c>
      <c r="E80" s="4" t="b">
        <v>0</v>
      </c>
      <c r="F80" s="4">
        <v>2</v>
      </c>
      <c r="G80" s="4">
        <v>2</v>
      </c>
      <c r="H80" s="4">
        <v>0.16</v>
      </c>
      <c r="I80">
        <f>VLOOKUP(A80,[1]Datasheet_2!$A$2:$H$611,2,FALSE)</f>
        <v>78</v>
      </c>
      <c r="J80">
        <f>VLOOKUP(A80,[1]Datasheet_2!$A$2:$H$611,3,FALSE)</f>
        <v>0.13639999999999999</v>
      </c>
      <c r="K80" s="9">
        <f>VLOOKUP(A80,[1]Datasheet_2!$A$2:$H$611,4,FALSE)</f>
        <v>0.69</v>
      </c>
      <c r="L80" s="8">
        <f>VLOOKUP(A80,[1]Datasheet_2!$A$2:$H$611,5,FALSE)</f>
        <v>0.32840000000000003</v>
      </c>
      <c r="M80" s="8">
        <f>VLOOKUP(A80,[1]Datasheet_2!$A$2:$H$611,6,FALSE)</f>
        <v>5</v>
      </c>
      <c r="N80" s="8">
        <f>VLOOKUP(A80,[1]Datasheet_2!$A$2:$H$611,7,FALSE)</f>
        <v>37</v>
      </c>
      <c r="O80" s="9">
        <f>VLOOKUP(A80,[1]Datasheet_2!$A$2:$H$611,8,FALSE)</f>
        <v>42</v>
      </c>
    </row>
    <row r="81" spans="1:15" x14ac:dyDescent="0.3">
      <c r="A81" s="4">
        <v>80</v>
      </c>
      <c r="B81" s="5">
        <v>40547</v>
      </c>
      <c r="C81" s="4">
        <v>1</v>
      </c>
      <c r="D81" s="4">
        <v>11</v>
      </c>
      <c r="E81" s="4" t="b">
        <v>0</v>
      </c>
      <c r="F81" s="4">
        <v>2</v>
      </c>
      <c r="G81" s="4">
        <v>1</v>
      </c>
      <c r="H81" s="4">
        <v>0.22</v>
      </c>
      <c r="I81">
        <f>VLOOKUP(A81,[1]Datasheet_2!$A$2:$H$611,2,FALSE)</f>
        <v>79</v>
      </c>
      <c r="J81">
        <f>VLOOKUP(A81,[1]Datasheet_2!$A$2:$H$611,3,FALSE)</f>
        <v>0.21210000000000001</v>
      </c>
      <c r="K81" s="9">
        <f>VLOOKUP(A81,[1]Datasheet_2!$A$2:$H$611,4,FALSE)</f>
        <v>0.51</v>
      </c>
      <c r="L81" s="8">
        <f>VLOOKUP(A81,[1]Datasheet_2!$A$2:$H$611,5,FALSE)</f>
        <v>0.29849999999999999</v>
      </c>
      <c r="M81" s="8">
        <f>VLOOKUP(A81,[1]Datasheet_2!$A$2:$H$611,6,FALSE)</f>
        <v>7</v>
      </c>
      <c r="N81" s="8">
        <f>VLOOKUP(A81,[1]Datasheet_2!$A$2:$H$611,7,FALSE)</f>
        <v>50</v>
      </c>
      <c r="O81" s="9">
        <f>VLOOKUP(A81,[1]Datasheet_2!$A$2:$H$611,8,FALSE)</f>
        <v>57</v>
      </c>
    </row>
    <row r="82" spans="1:15" x14ac:dyDescent="0.3">
      <c r="A82" s="4">
        <v>81</v>
      </c>
      <c r="B82" s="5">
        <v>40547</v>
      </c>
      <c r="C82" s="4">
        <v>1</v>
      </c>
      <c r="D82" s="4">
        <v>12</v>
      </c>
      <c r="E82" s="4" t="b">
        <v>0</v>
      </c>
      <c r="F82" s="4">
        <v>2</v>
      </c>
      <c r="G82" s="4">
        <v>1</v>
      </c>
      <c r="H82" s="4">
        <v>0.22</v>
      </c>
      <c r="I82">
        <f>VLOOKUP(A82,[1]Datasheet_2!$A$2:$H$611,2,FALSE)</f>
        <v>80</v>
      </c>
      <c r="J82">
        <f>VLOOKUP(A82,[1]Datasheet_2!$A$2:$H$611,3,FALSE)</f>
        <v>0.2273</v>
      </c>
      <c r="K82" s="9">
        <f>VLOOKUP(A82,[1]Datasheet_2!$A$2:$H$611,4,FALSE)</f>
        <v>0.51</v>
      </c>
      <c r="L82" s="8">
        <f>VLOOKUP(A82,[1]Datasheet_2!$A$2:$H$611,5,FALSE)</f>
        <v>0.16420000000000001</v>
      </c>
      <c r="M82" s="8">
        <f>VLOOKUP(A82,[1]Datasheet_2!$A$2:$H$611,6,FALSE)</f>
        <v>12</v>
      </c>
      <c r="N82" s="8">
        <f>VLOOKUP(A82,[1]Datasheet_2!$A$2:$H$611,7,FALSE)</f>
        <v>66</v>
      </c>
      <c r="O82" s="9">
        <f>VLOOKUP(A82,[1]Datasheet_2!$A$2:$H$611,8,FALSE)</f>
        <v>78</v>
      </c>
    </row>
    <row r="83" spans="1:15" x14ac:dyDescent="0.3">
      <c r="A83" s="4">
        <v>82</v>
      </c>
      <c r="B83" s="5">
        <v>40547</v>
      </c>
      <c r="C83" s="4">
        <v>1</v>
      </c>
      <c r="D83" s="4">
        <v>13</v>
      </c>
      <c r="E83" s="4" t="b">
        <v>0</v>
      </c>
      <c r="F83" s="4">
        <v>2</v>
      </c>
      <c r="G83" s="4">
        <v>1</v>
      </c>
      <c r="H83" s="4">
        <v>0.24</v>
      </c>
      <c r="I83">
        <f>VLOOKUP(A83,[1]Datasheet_2!$A$2:$H$611,2,FALSE)</f>
        <v>81</v>
      </c>
      <c r="J83">
        <f>VLOOKUP(A83,[1]Datasheet_2!$A$2:$H$611,3,FALSE)</f>
        <v>0.2273</v>
      </c>
      <c r="K83" s="9">
        <f>VLOOKUP(A83,[1]Datasheet_2!$A$2:$H$611,4,FALSE)</f>
        <v>0.56000000000000005</v>
      </c>
      <c r="L83" s="8">
        <f>VLOOKUP(A83,[1]Datasheet_2!$A$2:$H$611,5,FALSE)</f>
        <v>0.19400000000000001</v>
      </c>
      <c r="M83" s="8">
        <f>VLOOKUP(A83,[1]Datasheet_2!$A$2:$H$611,6,FALSE)</f>
        <v>18</v>
      </c>
      <c r="N83" s="8">
        <f>VLOOKUP(A83,[1]Datasheet_2!$A$2:$H$611,7,FALSE)</f>
        <v>79</v>
      </c>
      <c r="O83" s="9">
        <f>VLOOKUP(A83,[1]Datasheet_2!$A$2:$H$611,8,FALSE)</f>
        <v>97</v>
      </c>
    </row>
    <row r="84" spans="1:15" x14ac:dyDescent="0.3">
      <c r="A84" s="4">
        <v>83</v>
      </c>
      <c r="B84" s="5">
        <v>40547</v>
      </c>
      <c r="C84" s="4">
        <v>1</v>
      </c>
      <c r="D84" s="4">
        <v>14</v>
      </c>
      <c r="E84" s="4" t="b">
        <v>0</v>
      </c>
      <c r="F84" s="4">
        <v>2</v>
      </c>
      <c r="G84" s="4">
        <v>1</v>
      </c>
      <c r="H84" s="4">
        <v>0.26</v>
      </c>
      <c r="I84">
        <f>VLOOKUP(A84,[1]Datasheet_2!$A$2:$H$611,2,FALSE)</f>
        <v>82</v>
      </c>
      <c r="J84">
        <f>VLOOKUP(A84,[1]Datasheet_2!$A$2:$H$611,3,FALSE)</f>
        <v>0.2576</v>
      </c>
      <c r="K84" s="9">
        <f>VLOOKUP(A84,[1]Datasheet_2!$A$2:$H$611,4,FALSE)</f>
        <v>0.52</v>
      </c>
      <c r="L84" s="8">
        <f>VLOOKUP(A84,[1]Datasheet_2!$A$2:$H$611,5,FALSE)</f>
        <v>0.22389999999999999</v>
      </c>
      <c r="M84" s="8">
        <f>VLOOKUP(A84,[1]Datasheet_2!$A$2:$H$611,6,FALSE)</f>
        <v>9</v>
      </c>
      <c r="N84" s="8">
        <f>VLOOKUP(A84,[1]Datasheet_2!$A$2:$H$611,7,FALSE)</f>
        <v>54</v>
      </c>
      <c r="O84" s="9">
        <f>VLOOKUP(A84,[1]Datasheet_2!$A$2:$H$611,8,FALSE)</f>
        <v>63</v>
      </c>
    </row>
    <row r="85" spans="1:15" x14ac:dyDescent="0.3">
      <c r="A85" s="4">
        <v>84</v>
      </c>
      <c r="B85" s="5">
        <v>40547</v>
      </c>
      <c r="C85" s="4">
        <v>1</v>
      </c>
      <c r="D85" s="4">
        <v>15</v>
      </c>
      <c r="E85" s="4" t="b">
        <v>0</v>
      </c>
      <c r="F85" s="4">
        <v>2</v>
      </c>
      <c r="G85" s="4">
        <v>1</v>
      </c>
      <c r="H85" s="4">
        <v>0.28000000000000003</v>
      </c>
      <c r="I85">
        <f>VLOOKUP(A85,[1]Datasheet_2!$A$2:$H$611,2,FALSE)</f>
        <v>83</v>
      </c>
      <c r="J85">
        <f>VLOOKUP(A85,[1]Datasheet_2!$A$2:$H$611,3,FALSE)</f>
        <v>0.2727</v>
      </c>
      <c r="K85" s="9">
        <f>VLOOKUP(A85,[1]Datasheet_2!$A$2:$H$611,4,FALSE)</f>
        <v>0.52</v>
      </c>
      <c r="L85" s="8">
        <f>VLOOKUP(A85,[1]Datasheet_2!$A$2:$H$611,5,FALSE)</f>
        <v>0.25369999999999998</v>
      </c>
      <c r="M85" s="8">
        <f>VLOOKUP(A85,[1]Datasheet_2!$A$2:$H$611,6,FALSE)</f>
        <v>17</v>
      </c>
      <c r="N85" s="8">
        <f>VLOOKUP(A85,[1]Datasheet_2!$A$2:$H$611,7,FALSE)</f>
        <v>48</v>
      </c>
      <c r="O85" s="9">
        <f>VLOOKUP(A85,[1]Datasheet_2!$A$2:$H$611,8,FALSE)</f>
        <v>65</v>
      </c>
    </row>
    <row r="86" spans="1:15" x14ac:dyDescent="0.3">
      <c r="A86" s="4">
        <v>85</v>
      </c>
      <c r="B86" s="5">
        <v>40547</v>
      </c>
      <c r="C86" s="4">
        <v>1</v>
      </c>
      <c r="D86" s="4">
        <v>16</v>
      </c>
      <c r="E86" s="4" t="b">
        <v>0</v>
      </c>
      <c r="F86" s="4">
        <v>2</v>
      </c>
      <c r="G86" s="4">
        <v>1</v>
      </c>
      <c r="H86" s="4">
        <v>0.3</v>
      </c>
      <c r="I86">
        <f>VLOOKUP(A86,[1]Datasheet_2!$A$2:$H$611,2,FALSE)</f>
        <v>84</v>
      </c>
      <c r="J86">
        <f>VLOOKUP(A86,[1]Datasheet_2!$A$2:$H$611,3,FALSE)</f>
        <v>0.28789999999999999</v>
      </c>
      <c r="K86" s="9">
        <f>VLOOKUP(A86,[1]Datasheet_2!$A$2:$H$611,4,FALSE)</f>
        <v>0.49</v>
      </c>
      <c r="L86" s="8">
        <f>VLOOKUP(A86,[1]Datasheet_2!$A$2:$H$611,5,FALSE)</f>
        <v>0.25369999999999998</v>
      </c>
      <c r="M86" s="8">
        <f>VLOOKUP(A86,[1]Datasheet_2!$A$2:$H$611,6,FALSE)</f>
        <v>15</v>
      </c>
      <c r="N86" s="8">
        <f>VLOOKUP(A86,[1]Datasheet_2!$A$2:$H$611,7,FALSE)</f>
        <v>68</v>
      </c>
      <c r="O86" s="9">
        <f>VLOOKUP(A86,[1]Datasheet_2!$A$2:$H$611,8,FALSE)</f>
        <v>83</v>
      </c>
    </row>
    <row r="87" spans="1:15" x14ac:dyDescent="0.3">
      <c r="A87" s="4">
        <v>86</v>
      </c>
      <c r="B87" s="5">
        <v>40547</v>
      </c>
      <c r="C87" s="4">
        <v>1</v>
      </c>
      <c r="D87" s="4">
        <v>17</v>
      </c>
      <c r="E87" s="4" t="b">
        <v>0</v>
      </c>
      <c r="F87" s="4">
        <v>2</v>
      </c>
      <c r="G87" s="4">
        <v>1</v>
      </c>
      <c r="H87" s="4">
        <v>0.28000000000000003</v>
      </c>
      <c r="I87">
        <f>VLOOKUP(A87,[1]Datasheet_2!$A$2:$H$611,2,FALSE)</f>
        <v>85</v>
      </c>
      <c r="J87">
        <f>VLOOKUP(A87,[1]Datasheet_2!$A$2:$H$611,3,FALSE)</f>
        <v>0.2727</v>
      </c>
      <c r="K87" s="9">
        <f>VLOOKUP(A87,[1]Datasheet_2!$A$2:$H$611,4,FALSE)</f>
        <v>0.48</v>
      </c>
      <c r="L87" s="8">
        <f>VLOOKUP(A87,[1]Datasheet_2!$A$2:$H$611,5,FALSE)</f>
        <v>0.22389999999999999</v>
      </c>
      <c r="M87" s="8">
        <f>VLOOKUP(A87,[1]Datasheet_2!$A$2:$H$611,6,FALSE)</f>
        <v>10</v>
      </c>
      <c r="N87" s="8">
        <f>VLOOKUP(A87,[1]Datasheet_2!$A$2:$H$611,7,FALSE)</f>
        <v>202</v>
      </c>
      <c r="O87" s="9">
        <f>VLOOKUP(A87,[1]Datasheet_2!$A$2:$H$611,8,FALSE)</f>
        <v>212</v>
      </c>
    </row>
    <row r="88" spans="1:15" x14ac:dyDescent="0.3">
      <c r="A88" s="4">
        <v>87</v>
      </c>
      <c r="B88" s="5">
        <v>40547</v>
      </c>
      <c r="C88" s="4">
        <v>1</v>
      </c>
      <c r="D88" s="4">
        <v>18</v>
      </c>
      <c r="E88" s="4" t="b">
        <v>0</v>
      </c>
      <c r="F88" s="4">
        <v>2</v>
      </c>
      <c r="G88" s="4">
        <v>1</v>
      </c>
      <c r="H88" s="4">
        <v>0.26</v>
      </c>
      <c r="I88">
        <f>VLOOKUP(A88,[1]Datasheet_2!$A$2:$H$611,2,FALSE)</f>
        <v>86</v>
      </c>
      <c r="J88">
        <f>VLOOKUP(A88,[1]Datasheet_2!$A$2:$H$611,3,FALSE)</f>
        <v>0.2576</v>
      </c>
      <c r="K88" s="9">
        <f>VLOOKUP(A88,[1]Datasheet_2!$A$2:$H$611,4,FALSE)</f>
        <v>0.48</v>
      </c>
      <c r="L88" s="8">
        <f>VLOOKUP(A88,[1]Datasheet_2!$A$2:$H$611,5,FALSE)</f>
        <v>0.19400000000000001</v>
      </c>
      <c r="M88" s="8">
        <f>VLOOKUP(A88,[1]Datasheet_2!$A$2:$H$611,6,FALSE)</f>
        <v>3</v>
      </c>
      <c r="N88" s="8">
        <f>VLOOKUP(A88,[1]Datasheet_2!$A$2:$H$611,7,FALSE)</f>
        <v>179</v>
      </c>
      <c r="O88" s="9">
        <f>VLOOKUP(A88,[1]Datasheet_2!$A$2:$H$611,8,FALSE)</f>
        <v>182</v>
      </c>
    </row>
    <row r="89" spans="1:15" x14ac:dyDescent="0.3">
      <c r="A89" s="4">
        <v>88</v>
      </c>
      <c r="B89" s="5">
        <v>40547</v>
      </c>
      <c r="C89" s="4">
        <v>1</v>
      </c>
      <c r="D89" s="4">
        <v>19</v>
      </c>
      <c r="E89" s="4" t="b">
        <v>0</v>
      </c>
      <c r="F89" s="4">
        <v>2</v>
      </c>
      <c r="G89" s="4">
        <v>1</v>
      </c>
      <c r="H89" s="4">
        <v>0.24</v>
      </c>
      <c r="I89">
        <f>VLOOKUP(A89,[1]Datasheet_2!$A$2:$H$611,2,FALSE)</f>
        <v>87</v>
      </c>
      <c r="J89">
        <f>VLOOKUP(A89,[1]Datasheet_2!$A$2:$H$611,3,FALSE)</f>
        <v>0.2576</v>
      </c>
      <c r="K89" s="9">
        <f>VLOOKUP(A89,[1]Datasheet_2!$A$2:$H$611,4,FALSE)</f>
        <v>0.48</v>
      </c>
      <c r="L89" s="8">
        <f>VLOOKUP(A89,[1]Datasheet_2!$A$2:$H$611,5,FALSE)</f>
        <v>0.1045</v>
      </c>
      <c r="M89" s="8">
        <f>VLOOKUP(A89,[1]Datasheet_2!$A$2:$H$611,6,FALSE)</f>
        <v>2</v>
      </c>
      <c r="N89" s="8">
        <f>VLOOKUP(A89,[1]Datasheet_2!$A$2:$H$611,7,FALSE)</f>
        <v>110</v>
      </c>
      <c r="O89" s="9">
        <f>VLOOKUP(A89,[1]Datasheet_2!$A$2:$H$611,8,FALSE)</f>
        <v>112</v>
      </c>
    </row>
    <row r="90" spans="1:15" x14ac:dyDescent="0.3">
      <c r="A90" s="4">
        <v>89</v>
      </c>
      <c r="B90" s="5">
        <v>40547</v>
      </c>
      <c r="C90" s="4">
        <v>1</v>
      </c>
      <c r="D90" s="4">
        <v>20</v>
      </c>
      <c r="E90" s="4" t="b">
        <v>0</v>
      </c>
      <c r="F90" s="4">
        <v>2</v>
      </c>
      <c r="G90" s="4">
        <v>1</v>
      </c>
      <c r="H90" s="4">
        <v>0.24</v>
      </c>
      <c r="I90">
        <f>VLOOKUP(A90,[1]Datasheet_2!$A$2:$H$611,2,FALSE)</f>
        <v>88</v>
      </c>
      <c r="J90">
        <f>VLOOKUP(A90,[1]Datasheet_2!$A$2:$H$611,3,FALSE)</f>
        <v>0.2576</v>
      </c>
      <c r="K90" s="9">
        <f>VLOOKUP(A90,[1]Datasheet_2!$A$2:$H$611,4,FALSE)</f>
        <v>0.48</v>
      </c>
      <c r="L90" s="8">
        <f>VLOOKUP(A90,[1]Datasheet_2!$A$2:$H$611,5,FALSE)</f>
        <v>0.1045</v>
      </c>
      <c r="M90" s="8">
        <f>VLOOKUP(A90,[1]Datasheet_2!$A$2:$H$611,6,FALSE)</f>
        <v>1</v>
      </c>
      <c r="N90" s="8">
        <f>VLOOKUP(A90,[1]Datasheet_2!$A$2:$H$611,7,FALSE)</f>
        <v>53</v>
      </c>
      <c r="O90" s="9">
        <f>VLOOKUP(A90,[1]Datasheet_2!$A$2:$H$611,8,FALSE)</f>
        <v>54</v>
      </c>
    </row>
    <row r="91" spans="1:15" x14ac:dyDescent="0.3">
      <c r="A91" s="4">
        <v>90</v>
      </c>
      <c r="B91" s="5">
        <v>40547</v>
      </c>
      <c r="C91" s="4">
        <v>1</v>
      </c>
      <c r="D91" s="4">
        <v>21</v>
      </c>
      <c r="E91" s="4" t="b">
        <v>0</v>
      </c>
      <c r="F91" s="4">
        <v>2</v>
      </c>
      <c r="G91" s="4">
        <v>1</v>
      </c>
      <c r="H91" s="4">
        <v>0.22</v>
      </c>
      <c r="I91">
        <f>VLOOKUP(A91,[1]Datasheet_2!$A$2:$H$611,2,FALSE)</f>
        <v>89</v>
      </c>
      <c r="J91">
        <f>VLOOKUP(A91,[1]Datasheet_2!$A$2:$H$611,3,FALSE)</f>
        <v>0.2727</v>
      </c>
      <c r="K91" s="9">
        <f>VLOOKUP(A91,[1]Datasheet_2!$A$2:$H$611,4,FALSE)</f>
        <v>0.64</v>
      </c>
      <c r="L91" s="8">
        <f>VLOOKUP(A91,[1]Datasheet_2!$A$2:$H$611,5,FALSE)</f>
        <v>0</v>
      </c>
      <c r="M91" s="8">
        <f>VLOOKUP(A91,[1]Datasheet_2!$A$2:$H$611,6,FALSE)</f>
        <v>0</v>
      </c>
      <c r="N91" s="8">
        <f>VLOOKUP(A91,[1]Datasheet_2!$A$2:$H$611,7,FALSE)</f>
        <v>48</v>
      </c>
      <c r="O91" s="9">
        <f>VLOOKUP(A91,[1]Datasheet_2!$A$2:$H$611,8,FALSE)</f>
        <v>48</v>
      </c>
    </row>
    <row r="92" spans="1:15" x14ac:dyDescent="0.3">
      <c r="A92" s="4">
        <v>91</v>
      </c>
      <c r="B92" s="5">
        <v>40547</v>
      </c>
      <c r="C92" s="4">
        <v>1</v>
      </c>
      <c r="D92" s="4">
        <v>22</v>
      </c>
      <c r="E92" s="4" t="b">
        <v>0</v>
      </c>
      <c r="F92" s="4">
        <v>2</v>
      </c>
      <c r="G92" s="4">
        <v>1</v>
      </c>
      <c r="H92" s="4">
        <v>0.22</v>
      </c>
      <c r="I92">
        <f>VLOOKUP(A92,[1]Datasheet_2!$A$2:$H$611,2,FALSE)</f>
        <v>90</v>
      </c>
      <c r="J92">
        <f>VLOOKUP(A92,[1]Datasheet_2!$A$2:$H$611,3,FALSE)</f>
        <v>0.2576</v>
      </c>
      <c r="K92" s="9">
        <f>VLOOKUP(A92,[1]Datasheet_2!$A$2:$H$611,4,FALSE)</f>
        <v>0.64</v>
      </c>
      <c r="L92" s="8">
        <f>VLOOKUP(A92,[1]Datasheet_2!$A$2:$H$611,5,FALSE)</f>
        <v>8.9599999999999999E-2</v>
      </c>
      <c r="M92" s="8">
        <f>VLOOKUP(A92,[1]Datasheet_2!$A$2:$H$611,6,FALSE)</f>
        <v>1</v>
      </c>
      <c r="N92" s="8">
        <f>VLOOKUP(A92,[1]Datasheet_2!$A$2:$H$611,7,FALSE)</f>
        <v>34</v>
      </c>
      <c r="O92" s="9">
        <f>VLOOKUP(A92,[1]Datasheet_2!$A$2:$H$611,8,FALSE)</f>
        <v>35</v>
      </c>
    </row>
    <row r="93" spans="1:15" x14ac:dyDescent="0.3">
      <c r="A93" s="4">
        <v>92</v>
      </c>
      <c r="B93" s="5">
        <v>40547</v>
      </c>
      <c r="C93" s="4">
        <v>1</v>
      </c>
      <c r="D93" s="4">
        <v>23</v>
      </c>
      <c r="E93" s="4" t="b">
        <v>0</v>
      </c>
      <c r="F93" s="4">
        <v>2</v>
      </c>
      <c r="G93" s="4">
        <v>1</v>
      </c>
      <c r="H93" s="4">
        <v>0.2</v>
      </c>
      <c r="I93">
        <f>VLOOKUP(A93,[1]Datasheet_2!$A$2:$H$611,2,FALSE)</f>
        <v>91</v>
      </c>
      <c r="J93">
        <f>VLOOKUP(A93,[1]Datasheet_2!$A$2:$H$611,3,FALSE)</f>
        <v>0.2273</v>
      </c>
      <c r="K93" s="9">
        <f>VLOOKUP(A93,[1]Datasheet_2!$A$2:$H$611,4,FALSE)</f>
        <v>0.69</v>
      </c>
      <c r="L93" s="8">
        <f>VLOOKUP(A93,[1]Datasheet_2!$A$2:$H$611,5,FALSE)</f>
        <v>8.9599999999999999E-2</v>
      </c>
      <c r="M93" s="8">
        <f>VLOOKUP(A93,[1]Datasheet_2!$A$2:$H$611,6,FALSE)</f>
        <v>2</v>
      </c>
      <c r="N93" s="8">
        <f>VLOOKUP(A93,[1]Datasheet_2!$A$2:$H$611,7,FALSE)</f>
        <v>9</v>
      </c>
      <c r="O93" s="9">
        <f>VLOOKUP(A93,[1]Datasheet_2!$A$2:$H$611,8,FALSE)</f>
        <v>11</v>
      </c>
    </row>
    <row r="94" spans="1:15" x14ac:dyDescent="0.3">
      <c r="A94" s="4">
        <v>93</v>
      </c>
      <c r="B94" s="5">
        <v>40548</v>
      </c>
      <c r="C94" s="4">
        <v>1</v>
      </c>
      <c r="D94" s="4">
        <v>0</v>
      </c>
      <c r="E94" s="4" t="b">
        <v>0</v>
      </c>
      <c r="F94" s="4">
        <v>3</v>
      </c>
      <c r="G94" s="4">
        <v>1</v>
      </c>
      <c r="H94" s="4">
        <v>0.2</v>
      </c>
      <c r="I94">
        <f>VLOOKUP(A94,[1]Datasheet_2!$A$2:$H$611,2,FALSE)</f>
        <v>92</v>
      </c>
      <c r="J94">
        <f>VLOOKUP(A94,[1]Datasheet_2!$A$2:$H$611,3,FALSE)</f>
        <v>0.2576</v>
      </c>
      <c r="K94" s="9">
        <f>VLOOKUP(A94,[1]Datasheet_2!$A$2:$H$611,4,FALSE)</f>
        <v>0.64</v>
      </c>
      <c r="L94" s="8">
        <f>VLOOKUP(A94,[1]Datasheet_2!$A$2:$H$611,5,FALSE)</f>
        <v>0</v>
      </c>
      <c r="M94" s="8">
        <f>VLOOKUP(A94,[1]Datasheet_2!$A$2:$H$611,6,FALSE)</f>
        <v>0</v>
      </c>
      <c r="N94" s="8">
        <f>VLOOKUP(A94,[1]Datasheet_2!$A$2:$H$611,7,FALSE)</f>
        <v>6</v>
      </c>
      <c r="O94" s="9">
        <f>VLOOKUP(A94,[1]Datasheet_2!$A$2:$H$611,8,FALSE)</f>
        <v>6</v>
      </c>
    </row>
    <row r="95" spans="1:15" x14ac:dyDescent="0.3">
      <c r="A95" s="4">
        <v>94</v>
      </c>
      <c r="B95" s="5">
        <v>40548</v>
      </c>
      <c r="C95" s="4">
        <v>1</v>
      </c>
      <c r="D95" s="4">
        <v>1</v>
      </c>
      <c r="E95" s="4" t="b">
        <v>0</v>
      </c>
      <c r="F95" s="4">
        <v>3</v>
      </c>
      <c r="G95" s="4">
        <v>1</v>
      </c>
      <c r="H95" s="4">
        <v>0.16</v>
      </c>
      <c r="I95">
        <f>VLOOKUP(A95,[1]Datasheet_2!$A$2:$H$611,2,FALSE)</f>
        <v>93</v>
      </c>
      <c r="J95">
        <f>VLOOKUP(A95,[1]Datasheet_2!$A$2:$H$611,3,FALSE)</f>
        <v>0.19700000000000001</v>
      </c>
      <c r="K95" s="9">
        <f>VLOOKUP(A95,[1]Datasheet_2!$A$2:$H$611,4,FALSE)</f>
        <v>0.74</v>
      </c>
      <c r="L95" s="8">
        <f>VLOOKUP(A95,[1]Datasheet_2!$A$2:$H$611,5,FALSE)</f>
        <v>8.9599999999999999E-2</v>
      </c>
      <c r="M95" s="8">
        <f>VLOOKUP(A95,[1]Datasheet_2!$A$2:$H$611,6,FALSE)</f>
        <v>0</v>
      </c>
      <c r="N95" s="8">
        <f>VLOOKUP(A95,[1]Datasheet_2!$A$2:$H$611,7,FALSE)</f>
        <v>6</v>
      </c>
      <c r="O95" s="9">
        <f>VLOOKUP(A95,[1]Datasheet_2!$A$2:$H$611,8,FALSE)</f>
        <v>6</v>
      </c>
    </row>
    <row r="96" spans="1:15" x14ac:dyDescent="0.3">
      <c r="A96" s="4">
        <v>95</v>
      </c>
      <c r="B96" s="5">
        <v>40548</v>
      </c>
      <c r="C96" s="4">
        <v>1</v>
      </c>
      <c r="D96" s="4">
        <v>2</v>
      </c>
      <c r="E96" s="4" t="b">
        <v>0</v>
      </c>
      <c r="F96" s="4">
        <v>3</v>
      </c>
      <c r="G96" s="4">
        <v>1</v>
      </c>
      <c r="H96" s="4">
        <v>0.16</v>
      </c>
      <c r="I96">
        <f>VLOOKUP(A96,[1]Datasheet_2!$A$2:$H$611,2,FALSE)</f>
        <v>94</v>
      </c>
      <c r="J96">
        <f>VLOOKUP(A96,[1]Datasheet_2!$A$2:$H$611,3,FALSE)</f>
        <v>0.19700000000000001</v>
      </c>
      <c r="K96" s="9">
        <f>VLOOKUP(A96,[1]Datasheet_2!$A$2:$H$611,4,FALSE)</f>
        <v>0.74</v>
      </c>
      <c r="L96" s="8">
        <f>VLOOKUP(A96,[1]Datasheet_2!$A$2:$H$611,5,FALSE)</f>
        <v>8.9599999999999999E-2</v>
      </c>
      <c r="M96" s="8">
        <f>VLOOKUP(A96,[1]Datasheet_2!$A$2:$H$611,6,FALSE)</f>
        <v>0</v>
      </c>
      <c r="N96" s="8">
        <f>VLOOKUP(A96,[1]Datasheet_2!$A$2:$H$611,7,FALSE)</f>
        <v>2</v>
      </c>
      <c r="O96" s="9">
        <f>VLOOKUP(A96,[1]Datasheet_2!$A$2:$H$611,8,FALSE)</f>
        <v>2</v>
      </c>
    </row>
    <row r="97" spans="1:15" x14ac:dyDescent="0.3">
      <c r="A97" s="4">
        <v>96</v>
      </c>
      <c r="B97" s="5">
        <v>40548</v>
      </c>
      <c r="C97" s="4">
        <v>1</v>
      </c>
      <c r="D97" s="4">
        <v>4</v>
      </c>
      <c r="E97" s="4" t="b">
        <v>0</v>
      </c>
      <c r="F97" s="4">
        <v>3</v>
      </c>
      <c r="G97" s="4">
        <v>1</v>
      </c>
      <c r="H97" s="4">
        <v>0.24</v>
      </c>
      <c r="I97">
        <f>VLOOKUP(A97,[1]Datasheet_2!$A$2:$H$611,2,FALSE)</f>
        <v>95</v>
      </c>
      <c r="J97">
        <f>VLOOKUP(A97,[1]Datasheet_2!$A$2:$H$611,3,FALSE)</f>
        <v>0.2273</v>
      </c>
      <c r="K97" s="9">
        <f>VLOOKUP(A97,[1]Datasheet_2!$A$2:$H$611,4,FALSE)</f>
        <v>0.48</v>
      </c>
      <c r="L97" s="8">
        <f>VLOOKUP(A97,[1]Datasheet_2!$A$2:$H$611,5,FALSE)</f>
        <v>0.22389999999999999</v>
      </c>
      <c r="M97" s="8">
        <f>VLOOKUP(A97,[1]Datasheet_2!$A$2:$H$611,6,FALSE)</f>
        <v>0</v>
      </c>
      <c r="N97" s="8">
        <f>VLOOKUP(A97,[1]Datasheet_2!$A$2:$H$611,7,FALSE)</f>
        <v>2</v>
      </c>
      <c r="O97" s="9">
        <f>VLOOKUP(A97,[1]Datasheet_2!$A$2:$H$611,8,FALSE)</f>
        <v>2</v>
      </c>
    </row>
    <row r="98" spans="1:15" x14ac:dyDescent="0.3">
      <c r="A98" s="4">
        <v>97</v>
      </c>
      <c r="B98" s="5">
        <v>40548</v>
      </c>
      <c r="C98" s="4">
        <v>1</v>
      </c>
      <c r="D98" s="4">
        <v>5</v>
      </c>
      <c r="E98" s="4" t="b">
        <v>0</v>
      </c>
      <c r="F98" s="4">
        <v>3</v>
      </c>
      <c r="G98" s="4">
        <v>1</v>
      </c>
      <c r="H98" s="4">
        <v>0.22</v>
      </c>
      <c r="I98">
        <f>VLOOKUP(A98,[1]Datasheet_2!$A$2:$H$611,2,FALSE)</f>
        <v>96</v>
      </c>
      <c r="J98">
        <f>VLOOKUP(A98,[1]Datasheet_2!$A$2:$H$611,3,FALSE)</f>
        <v>0.2273</v>
      </c>
      <c r="K98" s="9">
        <f>VLOOKUP(A98,[1]Datasheet_2!$A$2:$H$611,4,FALSE)</f>
        <v>0.47</v>
      </c>
      <c r="L98" s="8">
        <f>VLOOKUP(A98,[1]Datasheet_2!$A$2:$H$611,5,FALSE)</f>
        <v>0.16420000000000001</v>
      </c>
      <c r="M98" s="8">
        <f>VLOOKUP(A98,[1]Datasheet_2!$A$2:$H$611,6,FALSE)</f>
        <v>0</v>
      </c>
      <c r="N98" s="8">
        <f>VLOOKUP(A98,[1]Datasheet_2!$A$2:$H$611,7,FALSE)</f>
        <v>3</v>
      </c>
      <c r="O98" s="9">
        <f>VLOOKUP(A98,[1]Datasheet_2!$A$2:$H$611,8,FALSE)</f>
        <v>3</v>
      </c>
    </row>
    <row r="99" spans="1:15" x14ac:dyDescent="0.3">
      <c r="A99" s="4">
        <v>98</v>
      </c>
      <c r="B99" s="5">
        <v>40548</v>
      </c>
      <c r="C99" s="4">
        <v>1</v>
      </c>
      <c r="D99" s="4">
        <v>6</v>
      </c>
      <c r="E99" s="4" t="b">
        <v>0</v>
      </c>
      <c r="F99" s="4">
        <v>3</v>
      </c>
      <c r="G99" s="4">
        <v>1</v>
      </c>
      <c r="H99" s="4">
        <v>0.2</v>
      </c>
      <c r="I99">
        <f>VLOOKUP(A99,[1]Datasheet_2!$A$2:$H$611,2,FALSE)</f>
        <v>97</v>
      </c>
      <c r="J99">
        <f>VLOOKUP(A99,[1]Datasheet_2!$A$2:$H$611,3,FALSE)</f>
        <v>0.19700000000000001</v>
      </c>
      <c r="K99" s="9">
        <f>VLOOKUP(A99,[1]Datasheet_2!$A$2:$H$611,4,FALSE)</f>
        <v>0.47</v>
      </c>
      <c r="L99" s="8">
        <f>VLOOKUP(A99,[1]Datasheet_2!$A$2:$H$611,5,FALSE)</f>
        <v>0.22389999999999999</v>
      </c>
      <c r="M99" s="8">
        <f>VLOOKUP(A99,[1]Datasheet_2!$A$2:$H$611,6,FALSE)</f>
        <v>0</v>
      </c>
      <c r="N99" s="8">
        <f>VLOOKUP(A99,[1]Datasheet_2!$A$2:$H$611,7,FALSE)</f>
        <v>33</v>
      </c>
      <c r="O99" s="9">
        <f>VLOOKUP(A99,[1]Datasheet_2!$A$2:$H$611,8,FALSE)</f>
        <v>33</v>
      </c>
    </row>
    <row r="100" spans="1:15" x14ac:dyDescent="0.3">
      <c r="A100" s="4">
        <v>99</v>
      </c>
      <c r="B100" s="5">
        <v>40548</v>
      </c>
      <c r="C100" s="4">
        <v>1</v>
      </c>
      <c r="D100" s="4">
        <v>7</v>
      </c>
      <c r="E100" s="4" t="b">
        <v>0</v>
      </c>
      <c r="F100" s="4">
        <v>3</v>
      </c>
      <c r="G100" s="4">
        <v>1</v>
      </c>
      <c r="H100" s="4">
        <v>0.18</v>
      </c>
      <c r="I100">
        <f>VLOOKUP(A100,[1]Datasheet_2!$A$2:$H$611,2,FALSE)</f>
        <v>98</v>
      </c>
      <c r="J100">
        <f>VLOOKUP(A100,[1]Datasheet_2!$A$2:$H$611,3,FALSE)</f>
        <v>0.18179999999999999</v>
      </c>
      <c r="K100" s="9">
        <f>VLOOKUP(A100,[1]Datasheet_2!$A$2:$H$611,4,FALSE)</f>
        <v>0.43</v>
      </c>
      <c r="L100" s="8">
        <f>VLOOKUP(A100,[1]Datasheet_2!$A$2:$H$611,5,FALSE)</f>
        <v>0.19400000000000001</v>
      </c>
      <c r="M100" s="8">
        <f>VLOOKUP(A100,[1]Datasheet_2!$A$2:$H$611,6,FALSE)</f>
        <v>1</v>
      </c>
      <c r="N100" s="8">
        <f>VLOOKUP(A100,[1]Datasheet_2!$A$2:$H$611,7,FALSE)</f>
        <v>87</v>
      </c>
      <c r="O100" s="9">
        <f>VLOOKUP(A100,[1]Datasheet_2!$A$2:$H$611,8,FALSE)</f>
        <v>88</v>
      </c>
    </row>
    <row r="101" spans="1:15" x14ac:dyDescent="0.3">
      <c r="A101" s="4">
        <v>100</v>
      </c>
      <c r="B101" s="5">
        <v>40548</v>
      </c>
      <c r="C101" s="4">
        <v>1</v>
      </c>
      <c r="D101" s="4">
        <v>8</v>
      </c>
      <c r="E101" s="4" t="b">
        <v>0</v>
      </c>
      <c r="F101" s="4">
        <v>3</v>
      </c>
      <c r="G101" s="4">
        <v>1</v>
      </c>
      <c r="H101" s="4">
        <v>0.2</v>
      </c>
      <c r="I101">
        <f>VLOOKUP(A101,[1]Datasheet_2!$A$2:$H$611,2,FALSE)</f>
        <v>99</v>
      </c>
      <c r="J101">
        <f>VLOOKUP(A101,[1]Datasheet_2!$A$2:$H$611,3,FALSE)</f>
        <v>0.18179999999999999</v>
      </c>
      <c r="K101" s="9">
        <f>VLOOKUP(A101,[1]Datasheet_2!$A$2:$H$611,4,FALSE)</f>
        <v>0.4</v>
      </c>
      <c r="L101" s="8">
        <f>VLOOKUP(A101,[1]Datasheet_2!$A$2:$H$611,5,FALSE)</f>
        <v>0.29849999999999999</v>
      </c>
      <c r="M101" s="8">
        <f>VLOOKUP(A101,[1]Datasheet_2!$A$2:$H$611,6,FALSE)</f>
        <v>3</v>
      </c>
      <c r="N101" s="8">
        <f>VLOOKUP(A101,[1]Datasheet_2!$A$2:$H$611,7,FALSE)</f>
        <v>192</v>
      </c>
      <c r="O101" s="9">
        <f>VLOOKUP(A101,[1]Datasheet_2!$A$2:$H$611,8,FALSE)</f>
        <v>195</v>
      </c>
    </row>
    <row r="102" spans="1:15" x14ac:dyDescent="0.3">
      <c r="A102" s="4">
        <v>101</v>
      </c>
      <c r="B102" s="5">
        <v>40548</v>
      </c>
      <c r="C102" s="4">
        <v>1</v>
      </c>
      <c r="D102" s="4">
        <v>9</v>
      </c>
      <c r="E102" s="4" t="b">
        <v>0</v>
      </c>
      <c r="F102" s="4">
        <v>3</v>
      </c>
      <c r="G102" s="4">
        <v>1</v>
      </c>
      <c r="H102" s="4">
        <v>0.22</v>
      </c>
      <c r="I102">
        <f>VLOOKUP(A102,[1]Datasheet_2!$A$2:$H$611,2,FALSE)</f>
        <v>100</v>
      </c>
      <c r="J102">
        <f>VLOOKUP(A102,[1]Datasheet_2!$A$2:$H$611,3,FALSE)</f>
        <v>0.19700000000000001</v>
      </c>
      <c r="K102" s="9">
        <f>VLOOKUP(A102,[1]Datasheet_2!$A$2:$H$611,4,FALSE)</f>
        <v>0.37</v>
      </c>
      <c r="L102" s="8">
        <f>VLOOKUP(A102,[1]Datasheet_2!$A$2:$H$611,5,FALSE)</f>
        <v>0.32840000000000003</v>
      </c>
      <c r="M102" s="8">
        <f>VLOOKUP(A102,[1]Datasheet_2!$A$2:$H$611,6,FALSE)</f>
        <v>6</v>
      </c>
      <c r="N102" s="8">
        <f>VLOOKUP(A102,[1]Datasheet_2!$A$2:$H$611,7,FALSE)</f>
        <v>109</v>
      </c>
      <c r="O102" s="9">
        <f>VLOOKUP(A102,[1]Datasheet_2!$A$2:$H$611,8,FALSE)</f>
        <v>115</v>
      </c>
    </row>
    <row r="103" spans="1:15" x14ac:dyDescent="0.3">
      <c r="A103" s="4">
        <v>102</v>
      </c>
      <c r="B103" s="5">
        <v>40548</v>
      </c>
      <c r="C103" s="4">
        <v>1</v>
      </c>
      <c r="D103" s="4">
        <v>10</v>
      </c>
      <c r="E103" s="4" t="b">
        <v>0</v>
      </c>
      <c r="F103" s="4">
        <v>3</v>
      </c>
      <c r="G103" s="4">
        <v>1</v>
      </c>
      <c r="H103" s="4">
        <v>0.22</v>
      </c>
      <c r="I103">
        <f>VLOOKUP(A103,[1]Datasheet_2!$A$2:$H$611,2,FALSE)</f>
        <v>101</v>
      </c>
      <c r="J103">
        <f>VLOOKUP(A103,[1]Datasheet_2!$A$2:$H$611,3,FALSE)</f>
        <v>0.19700000000000001</v>
      </c>
      <c r="K103" s="9">
        <f>VLOOKUP(A103,[1]Datasheet_2!$A$2:$H$611,4,FALSE)</f>
        <v>0.37</v>
      </c>
      <c r="L103" s="8">
        <f>VLOOKUP(A103,[1]Datasheet_2!$A$2:$H$611,5,FALSE)</f>
        <v>0.32840000000000003</v>
      </c>
      <c r="M103" s="8">
        <f>VLOOKUP(A103,[1]Datasheet_2!$A$2:$H$611,6,FALSE)</f>
        <v>4</v>
      </c>
      <c r="N103" s="8">
        <f>VLOOKUP(A103,[1]Datasheet_2!$A$2:$H$611,7,FALSE)</f>
        <v>53</v>
      </c>
      <c r="O103" s="9">
        <f>VLOOKUP(A103,[1]Datasheet_2!$A$2:$H$611,8,FALSE)</f>
        <v>57</v>
      </c>
    </row>
    <row r="104" spans="1:15" x14ac:dyDescent="0.3">
      <c r="A104" s="4">
        <v>103</v>
      </c>
      <c r="B104" s="5">
        <v>40548</v>
      </c>
      <c r="C104" s="4">
        <v>1</v>
      </c>
      <c r="D104" s="4">
        <v>11</v>
      </c>
      <c r="E104" s="4" t="b">
        <v>0</v>
      </c>
      <c r="F104" s="4">
        <v>3</v>
      </c>
      <c r="G104" s="4">
        <v>1</v>
      </c>
      <c r="H104" s="4">
        <v>0.26</v>
      </c>
      <c r="I104">
        <f>VLOOKUP(A104,[1]Datasheet_2!$A$2:$H$611,2,FALSE)</f>
        <v>102</v>
      </c>
      <c r="J104">
        <f>VLOOKUP(A104,[1]Datasheet_2!$A$2:$H$611,3,FALSE)</f>
        <v>0.2273</v>
      </c>
      <c r="K104" s="9">
        <f>VLOOKUP(A104,[1]Datasheet_2!$A$2:$H$611,4,FALSE)</f>
        <v>0.33</v>
      </c>
      <c r="L104" s="8">
        <f>VLOOKUP(A104,[1]Datasheet_2!$A$2:$H$611,5,FALSE)</f>
        <v>0.32840000000000003</v>
      </c>
      <c r="M104" s="8">
        <f>VLOOKUP(A104,[1]Datasheet_2!$A$2:$H$611,6,FALSE)</f>
        <v>12</v>
      </c>
      <c r="N104" s="8">
        <f>VLOOKUP(A104,[1]Datasheet_2!$A$2:$H$611,7,FALSE)</f>
        <v>34</v>
      </c>
      <c r="O104" s="9">
        <f>VLOOKUP(A104,[1]Datasheet_2!$A$2:$H$611,8,FALSE)</f>
        <v>46</v>
      </c>
    </row>
    <row r="105" spans="1:15" x14ac:dyDescent="0.3">
      <c r="A105" s="4">
        <v>104</v>
      </c>
      <c r="B105" s="5">
        <v>40548</v>
      </c>
      <c r="C105" s="4">
        <v>1</v>
      </c>
      <c r="D105" s="4">
        <v>12</v>
      </c>
      <c r="E105" s="4" t="b">
        <v>0</v>
      </c>
      <c r="F105" s="4">
        <v>3</v>
      </c>
      <c r="G105" s="4">
        <v>1</v>
      </c>
      <c r="H105" s="4">
        <v>0.26</v>
      </c>
      <c r="I105">
        <f>VLOOKUP(A105,[1]Datasheet_2!$A$2:$H$611,2,FALSE)</f>
        <v>103</v>
      </c>
      <c r="J105">
        <f>VLOOKUP(A105,[1]Datasheet_2!$A$2:$H$611,3,FALSE)</f>
        <v>0.2273</v>
      </c>
      <c r="K105" s="9">
        <f>VLOOKUP(A105,[1]Datasheet_2!$A$2:$H$611,4,FALSE)</f>
        <v>0.33</v>
      </c>
      <c r="L105" s="8">
        <f>VLOOKUP(A105,[1]Datasheet_2!$A$2:$H$611,5,FALSE)</f>
        <v>0.32840000000000003</v>
      </c>
      <c r="M105" s="8">
        <f>VLOOKUP(A105,[1]Datasheet_2!$A$2:$H$611,6,FALSE)</f>
        <v>5</v>
      </c>
      <c r="N105" s="8">
        <f>VLOOKUP(A105,[1]Datasheet_2!$A$2:$H$611,7,FALSE)</f>
        <v>74</v>
      </c>
      <c r="O105" s="9">
        <f>VLOOKUP(A105,[1]Datasheet_2!$A$2:$H$611,8,FALSE)</f>
        <v>79</v>
      </c>
    </row>
    <row r="106" spans="1:15" x14ac:dyDescent="0.3">
      <c r="A106" s="4">
        <v>105</v>
      </c>
      <c r="B106" s="5">
        <v>40548</v>
      </c>
      <c r="C106" s="4">
        <v>1</v>
      </c>
      <c r="D106" s="4">
        <v>13</v>
      </c>
      <c r="E106" s="4" t="b">
        <v>0</v>
      </c>
      <c r="F106" s="4">
        <v>3</v>
      </c>
      <c r="G106" s="4">
        <v>1</v>
      </c>
      <c r="H106" s="4">
        <v>0.28000000000000003</v>
      </c>
      <c r="I106">
        <f>VLOOKUP(A106,[1]Datasheet_2!$A$2:$H$611,2,FALSE)</f>
        <v>104</v>
      </c>
      <c r="J106">
        <f>VLOOKUP(A106,[1]Datasheet_2!$A$2:$H$611,3,FALSE)</f>
        <v>0.2576</v>
      </c>
      <c r="K106" s="9">
        <f>VLOOKUP(A106,[1]Datasheet_2!$A$2:$H$611,4,FALSE)</f>
        <v>0.3</v>
      </c>
      <c r="L106" s="8">
        <f>VLOOKUP(A106,[1]Datasheet_2!$A$2:$H$611,5,FALSE)</f>
        <v>0.29849999999999999</v>
      </c>
      <c r="M106" s="8">
        <f>VLOOKUP(A106,[1]Datasheet_2!$A$2:$H$611,6,FALSE)</f>
        <v>6</v>
      </c>
      <c r="N106" s="8">
        <f>VLOOKUP(A106,[1]Datasheet_2!$A$2:$H$611,7,FALSE)</f>
        <v>65</v>
      </c>
      <c r="O106" s="9">
        <f>VLOOKUP(A106,[1]Datasheet_2!$A$2:$H$611,8,FALSE)</f>
        <v>71</v>
      </c>
    </row>
    <row r="107" spans="1:15" x14ac:dyDescent="0.3">
      <c r="A107" s="4">
        <v>106</v>
      </c>
      <c r="B107" s="5">
        <v>40548</v>
      </c>
      <c r="C107" s="4">
        <v>1</v>
      </c>
      <c r="D107" s="4">
        <v>14</v>
      </c>
      <c r="E107" s="4" t="b">
        <v>0</v>
      </c>
      <c r="F107" s="4">
        <v>3</v>
      </c>
      <c r="G107" s="4">
        <v>1</v>
      </c>
      <c r="H107" s="4">
        <v>0.3</v>
      </c>
      <c r="I107">
        <f>VLOOKUP(A107,[1]Datasheet_2!$A$2:$H$611,2,FALSE)</f>
        <v>105</v>
      </c>
      <c r="J107">
        <f>VLOOKUP(A107,[1]Datasheet_2!$A$2:$H$611,3,FALSE)</f>
        <v>0.28789999999999999</v>
      </c>
      <c r="K107" s="9">
        <f>VLOOKUP(A107,[1]Datasheet_2!$A$2:$H$611,4,FALSE)</f>
        <v>0.28000000000000003</v>
      </c>
      <c r="L107" s="8">
        <f>VLOOKUP(A107,[1]Datasheet_2!$A$2:$H$611,5,FALSE)</f>
        <v>0.19400000000000001</v>
      </c>
      <c r="M107" s="8">
        <f>VLOOKUP(A107,[1]Datasheet_2!$A$2:$H$611,6,FALSE)</f>
        <v>10</v>
      </c>
      <c r="N107" s="8">
        <f>VLOOKUP(A107,[1]Datasheet_2!$A$2:$H$611,7,FALSE)</f>
        <v>52</v>
      </c>
      <c r="O107" s="9">
        <f>VLOOKUP(A107,[1]Datasheet_2!$A$2:$H$611,8,FALSE)</f>
        <v>62</v>
      </c>
    </row>
    <row r="108" spans="1:15" x14ac:dyDescent="0.3">
      <c r="A108" s="4">
        <v>107</v>
      </c>
      <c r="B108" s="5">
        <v>40548</v>
      </c>
      <c r="C108" s="4">
        <v>1</v>
      </c>
      <c r="D108" s="4">
        <v>15</v>
      </c>
      <c r="E108" s="4" t="b">
        <v>0</v>
      </c>
      <c r="F108" s="4">
        <v>3</v>
      </c>
      <c r="G108" s="4">
        <v>1</v>
      </c>
      <c r="H108" s="4">
        <v>0.3</v>
      </c>
      <c r="I108">
        <f>VLOOKUP(A108,[1]Datasheet_2!$A$2:$H$611,2,FALSE)</f>
        <v>106</v>
      </c>
      <c r="J108">
        <f>VLOOKUP(A108,[1]Datasheet_2!$A$2:$H$611,3,FALSE)</f>
        <v>0.28789999999999999</v>
      </c>
      <c r="K108" s="9">
        <f>VLOOKUP(A108,[1]Datasheet_2!$A$2:$H$611,4,FALSE)</f>
        <v>0.28000000000000003</v>
      </c>
      <c r="L108" s="8">
        <f>VLOOKUP(A108,[1]Datasheet_2!$A$2:$H$611,5,FALSE)</f>
        <v>0.19400000000000001</v>
      </c>
      <c r="M108" s="8">
        <f>VLOOKUP(A108,[1]Datasheet_2!$A$2:$H$611,6,FALSE)</f>
        <v>7</v>
      </c>
      <c r="N108" s="8">
        <f>VLOOKUP(A108,[1]Datasheet_2!$A$2:$H$611,7,FALSE)</f>
        <v>55</v>
      </c>
      <c r="O108" s="9">
        <f>VLOOKUP(A108,[1]Datasheet_2!$A$2:$H$611,8,FALSE)</f>
        <v>62</v>
      </c>
    </row>
    <row r="109" spans="1:15" x14ac:dyDescent="0.3">
      <c r="A109" s="4">
        <v>108</v>
      </c>
      <c r="B109" s="5">
        <v>40548</v>
      </c>
      <c r="C109" s="4">
        <v>1</v>
      </c>
      <c r="D109" s="4">
        <v>16</v>
      </c>
      <c r="E109" s="4" t="b">
        <v>0</v>
      </c>
      <c r="F109" s="4">
        <v>3</v>
      </c>
      <c r="G109" s="4">
        <v>1</v>
      </c>
      <c r="H109" s="4">
        <v>0.3</v>
      </c>
      <c r="I109">
        <f>VLOOKUP(A109,[1]Datasheet_2!$A$2:$H$611,2,FALSE)</f>
        <v>107</v>
      </c>
      <c r="J109">
        <f>VLOOKUP(A109,[1]Datasheet_2!$A$2:$H$611,3,FALSE)</f>
        <v>0.31819999999999998</v>
      </c>
      <c r="K109" s="9">
        <f>VLOOKUP(A109,[1]Datasheet_2!$A$2:$H$611,4,FALSE)</f>
        <v>0.28000000000000003</v>
      </c>
      <c r="L109" s="8">
        <f>VLOOKUP(A109,[1]Datasheet_2!$A$2:$H$611,5,FALSE)</f>
        <v>8.9599999999999999E-2</v>
      </c>
      <c r="M109" s="8">
        <f>VLOOKUP(A109,[1]Datasheet_2!$A$2:$H$611,6,FALSE)</f>
        <v>4</v>
      </c>
      <c r="N109" s="8">
        <f>VLOOKUP(A109,[1]Datasheet_2!$A$2:$H$611,7,FALSE)</f>
        <v>85</v>
      </c>
      <c r="O109" s="9">
        <f>VLOOKUP(A109,[1]Datasheet_2!$A$2:$H$611,8,FALSE)</f>
        <v>89</v>
      </c>
    </row>
    <row r="110" spans="1:15" x14ac:dyDescent="0.3">
      <c r="A110" s="4">
        <v>109</v>
      </c>
      <c r="B110" s="5">
        <v>40548</v>
      </c>
      <c r="C110" s="4">
        <v>1</v>
      </c>
      <c r="D110" s="4">
        <v>17</v>
      </c>
      <c r="E110" s="4" t="b">
        <v>0</v>
      </c>
      <c r="F110" s="4">
        <v>3</v>
      </c>
      <c r="G110" s="4">
        <v>1</v>
      </c>
      <c r="H110" s="4">
        <v>0.24</v>
      </c>
      <c r="I110">
        <f>VLOOKUP(A110,[1]Datasheet_2!$A$2:$H$611,2,FALSE)</f>
        <v>108</v>
      </c>
      <c r="J110">
        <f>VLOOKUP(A110,[1]Datasheet_2!$A$2:$H$611,3,FALSE)</f>
        <v>0.2273</v>
      </c>
      <c r="K110" s="9">
        <f>VLOOKUP(A110,[1]Datasheet_2!$A$2:$H$611,4,FALSE)</f>
        <v>0.38</v>
      </c>
      <c r="L110" s="8">
        <f>VLOOKUP(A110,[1]Datasheet_2!$A$2:$H$611,5,FALSE)</f>
        <v>0.19400000000000001</v>
      </c>
      <c r="M110" s="8">
        <f>VLOOKUP(A110,[1]Datasheet_2!$A$2:$H$611,6,FALSE)</f>
        <v>4</v>
      </c>
      <c r="N110" s="8">
        <f>VLOOKUP(A110,[1]Datasheet_2!$A$2:$H$611,7,FALSE)</f>
        <v>186</v>
      </c>
      <c r="O110" s="9">
        <f>VLOOKUP(A110,[1]Datasheet_2!$A$2:$H$611,8,FALSE)</f>
        <v>190</v>
      </c>
    </row>
    <row r="111" spans="1:15" x14ac:dyDescent="0.3">
      <c r="A111" s="4">
        <v>110</v>
      </c>
      <c r="B111" s="5">
        <v>40548</v>
      </c>
      <c r="C111" s="4">
        <v>1</v>
      </c>
      <c r="D111" s="4">
        <v>18</v>
      </c>
      <c r="E111" s="4" t="b">
        <v>0</v>
      </c>
      <c r="F111" s="4">
        <v>3</v>
      </c>
      <c r="G111" s="4">
        <v>1</v>
      </c>
      <c r="H111" s="4">
        <v>0.24</v>
      </c>
      <c r="I111">
        <f>VLOOKUP(A111,[1]Datasheet_2!$A$2:$H$611,2,FALSE)</f>
        <v>109</v>
      </c>
      <c r="J111">
        <f>VLOOKUP(A111,[1]Datasheet_2!$A$2:$H$611,3,FALSE)</f>
        <v>0.2424</v>
      </c>
      <c r="K111" s="9">
        <f>VLOOKUP(A111,[1]Datasheet_2!$A$2:$H$611,4,FALSE)</f>
        <v>0.38</v>
      </c>
      <c r="L111" s="8">
        <f>VLOOKUP(A111,[1]Datasheet_2!$A$2:$H$611,5,FALSE)</f>
        <v>0.1343</v>
      </c>
      <c r="M111" s="8">
        <f>VLOOKUP(A111,[1]Datasheet_2!$A$2:$H$611,6,FALSE)</f>
        <v>3</v>
      </c>
      <c r="N111" s="8">
        <f>VLOOKUP(A111,[1]Datasheet_2!$A$2:$H$611,7,FALSE)</f>
        <v>166</v>
      </c>
      <c r="O111" s="9">
        <f>VLOOKUP(A111,[1]Datasheet_2!$A$2:$H$611,8,FALSE)</f>
        <v>169</v>
      </c>
    </row>
    <row r="112" spans="1:15" x14ac:dyDescent="0.3">
      <c r="A112" s="4">
        <v>111</v>
      </c>
      <c r="B112" s="5">
        <v>40548</v>
      </c>
      <c r="C112" s="4">
        <v>1</v>
      </c>
      <c r="D112" s="4">
        <v>19</v>
      </c>
      <c r="E112" s="4" t="b">
        <v>0</v>
      </c>
      <c r="F112" s="4">
        <v>3</v>
      </c>
      <c r="G112" s="4">
        <v>1</v>
      </c>
      <c r="H112" s="4">
        <v>0.24</v>
      </c>
      <c r="I112">
        <f>VLOOKUP(A112,[1]Datasheet_2!$A$2:$H$611,2,FALSE)</f>
        <v>110</v>
      </c>
      <c r="J112">
        <f>VLOOKUP(A112,[1]Datasheet_2!$A$2:$H$611,3,FALSE)</f>
        <v>0.2576</v>
      </c>
      <c r="K112" s="9">
        <f>VLOOKUP(A112,[1]Datasheet_2!$A$2:$H$611,4,FALSE)</f>
        <v>0.38</v>
      </c>
      <c r="L112" s="8">
        <f>VLOOKUP(A112,[1]Datasheet_2!$A$2:$H$611,5,FALSE)</f>
        <v>0.1045</v>
      </c>
      <c r="M112" s="8">
        <f>VLOOKUP(A112,[1]Datasheet_2!$A$2:$H$611,6,FALSE)</f>
        <v>5</v>
      </c>
      <c r="N112" s="8">
        <f>VLOOKUP(A112,[1]Datasheet_2!$A$2:$H$611,7,FALSE)</f>
        <v>127</v>
      </c>
      <c r="O112" s="9">
        <f>VLOOKUP(A112,[1]Datasheet_2!$A$2:$H$611,8,FALSE)</f>
        <v>132</v>
      </c>
    </row>
    <row r="113" spans="1:15" x14ac:dyDescent="0.3">
      <c r="A113" s="4">
        <v>112</v>
      </c>
      <c r="B113" s="5">
        <v>40548</v>
      </c>
      <c r="C113" s="4">
        <v>1</v>
      </c>
      <c r="D113" s="4">
        <v>20</v>
      </c>
      <c r="E113" s="4" t="b">
        <v>0</v>
      </c>
      <c r="F113" s="4">
        <v>3</v>
      </c>
      <c r="G113" s="4">
        <v>1</v>
      </c>
      <c r="H113" s="4">
        <v>0.22</v>
      </c>
      <c r="I113">
        <f>VLOOKUP(A113,[1]Datasheet_2!$A$2:$H$611,2,FALSE)</f>
        <v>111</v>
      </c>
      <c r="J113">
        <f>VLOOKUP(A113,[1]Datasheet_2!$A$2:$H$611,3,FALSE)</f>
        <v>0.2273</v>
      </c>
      <c r="K113" s="9">
        <f>VLOOKUP(A113,[1]Datasheet_2!$A$2:$H$611,4,FALSE)</f>
        <v>0.47</v>
      </c>
      <c r="L113" s="8">
        <f>VLOOKUP(A113,[1]Datasheet_2!$A$2:$H$611,5,FALSE)</f>
        <v>0.16420000000000001</v>
      </c>
      <c r="M113" s="8">
        <f>VLOOKUP(A113,[1]Datasheet_2!$A$2:$H$611,6,FALSE)</f>
        <v>7</v>
      </c>
      <c r="N113" s="8">
        <f>VLOOKUP(A113,[1]Datasheet_2!$A$2:$H$611,7,FALSE)</f>
        <v>82</v>
      </c>
      <c r="O113" s="9">
        <f>VLOOKUP(A113,[1]Datasheet_2!$A$2:$H$611,8,FALSE)</f>
        <v>89</v>
      </c>
    </row>
    <row r="114" spans="1:15" x14ac:dyDescent="0.3">
      <c r="A114" s="4">
        <v>113</v>
      </c>
      <c r="B114" s="5">
        <v>40548</v>
      </c>
      <c r="C114" s="4">
        <v>1</v>
      </c>
      <c r="D114" s="4">
        <v>21</v>
      </c>
      <c r="E114" s="4" t="b">
        <v>0</v>
      </c>
      <c r="F114" s="4">
        <v>3</v>
      </c>
      <c r="G114" s="4">
        <v>1</v>
      </c>
      <c r="H114" s="4">
        <v>0.2</v>
      </c>
      <c r="I114">
        <f>VLOOKUP(A114,[1]Datasheet_2!$A$2:$H$611,2,FALSE)</f>
        <v>112</v>
      </c>
      <c r="J114">
        <f>VLOOKUP(A114,[1]Datasheet_2!$A$2:$H$611,3,FALSE)</f>
        <v>0.19700000000000001</v>
      </c>
      <c r="K114" s="9">
        <f>VLOOKUP(A114,[1]Datasheet_2!$A$2:$H$611,4,FALSE)</f>
        <v>0.51</v>
      </c>
      <c r="L114" s="8">
        <f>VLOOKUP(A114,[1]Datasheet_2!$A$2:$H$611,5,FALSE)</f>
        <v>0.19400000000000001</v>
      </c>
      <c r="M114" s="8">
        <f>VLOOKUP(A114,[1]Datasheet_2!$A$2:$H$611,6,FALSE)</f>
        <v>3</v>
      </c>
      <c r="N114" s="8">
        <f>VLOOKUP(A114,[1]Datasheet_2!$A$2:$H$611,7,FALSE)</f>
        <v>40</v>
      </c>
      <c r="O114" s="9">
        <f>VLOOKUP(A114,[1]Datasheet_2!$A$2:$H$611,8,FALSE)</f>
        <v>43</v>
      </c>
    </row>
    <row r="115" spans="1:15" x14ac:dyDescent="0.3">
      <c r="A115" s="4">
        <v>114</v>
      </c>
      <c r="B115" s="5">
        <v>40548</v>
      </c>
      <c r="C115" s="4">
        <v>1</v>
      </c>
      <c r="D115" s="4">
        <v>22</v>
      </c>
      <c r="E115" s="4" t="b">
        <v>0</v>
      </c>
      <c r="F115" s="4">
        <v>3</v>
      </c>
      <c r="G115" s="4">
        <v>1</v>
      </c>
      <c r="H115" s="4">
        <v>0.18</v>
      </c>
      <c r="I115">
        <f>VLOOKUP(A115,[1]Datasheet_2!$A$2:$H$611,2,FALSE)</f>
        <v>113</v>
      </c>
      <c r="J115">
        <f>VLOOKUP(A115,[1]Datasheet_2!$A$2:$H$611,3,FALSE)</f>
        <v>0.19700000000000001</v>
      </c>
      <c r="K115" s="9">
        <f>VLOOKUP(A115,[1]Datasheet_2!$A$2:$H$611,4,FALSE)</f>
        <v>0.55000000000000004</v>
      </c>
      <c r="L115" s="8">
        <f>VLOOKUP(A115,[1]Datasheet_2!$A$2:$H$611,5,FALSE)</f>
        <v>0.1343</v>
      </c>
      <c r="M115" s="8">
        <f>VLOOKUP(A115,[1]Datasheet_2!$A$2:$H$611,6,FALSE)</f>
        <v>1</v>
      </c>
      <c r="N115" s="8">
        <f>VLOOKUP(A115,[1]Datasheet_2!$A$2:$H$611,7,FALSE)</f>
        <v>41</v>
      </c>
      <c r="O115" s="9">
        <f>VLOOKUP(A115,[1]Datasheet_2!$A$2:$H$611,8,FALSE)</f>
        <v>42</v>
      </c>
    </row>
    <row r="116" spans="1:15" x14ac:dyDescent="0.3">
      <c r="A116" s="4">
        <v>115</v>
      </c>
      <c r="B116" s="5">
        <v>40548</v>
      </c>
      <c r="C116" s="4">
        <v>1</v>
      </c>
      <c r="D116" s="4">
        <v>23</v>
      </c>
      <c r="E116" s="4" t="b">
        <v>0</v>
      </c>
      <c r="F116" s="4">
        <v>3</v>
      </c>
      <c r="G116" s="4">
        <v>1</v>
      </c>
      <c r="H116" s="4">
        <v>0.2</v>
      </c>
      <c r="I116">
        <f>VLOOKUP(A116,[1]Datasheet_2!$A$2:$H$611,2,FALSE)</f>
        <v>114</v>
      </c>
      <c r="J116">
        <f>VLOOKUP(A116,[1]Datasheet_2!$A$2:$H$611,3,FALSE)</f>
        <v>0.2576</v>
      </c>
      <c r="K116" s="9">
        <f>VLOOKUP(A116,[1]Datasheet_2!$A$2:$H$611,4,FALSE)</f>
        <v>0.47</v>
      </c>
      <c r="L116" s="8">
        <f>VLOOKUP(A116,[1]Datasheet_2!$A$2:$H$611,5,FALSE)</f>
        <v>0</v>
      </c>
      <c r="M116" s="8">
        <f>VLOOKUP(A116,[1]Datasheet_2!$A$2:$H$611,6,FALSE)</f>
        <v>1</v>
      </c>
      <c r="N116" s="8">
        <f>VLOOKUP(A116,[1]Datasheet_2!$A$2:$H$611,7,FALSE)</f>
        <v>18</v>
      </c>
      <c r="O116" s="9">
        <f>VLOOKUP(A116,[1]Datasheet_2!$A$2:$H$611,8,FALSE)</f>
        <v>19</v>
      </c>
    </row>
    <row r="117" spans="1:15" x14ac:dyDescent="0.3">
      <c r="A117" s="4">
        <v>116</v>
      </c>
      <c r="B117" s="5">
        <v>40549</v>
      </c>
      <c r="C117" s="4">
        <v>1</v>
      </c>
      <c r="D117" s="4">
        <v>0</v>
      </c>
      <c r="E117" s="4" t="b">
        <v>0</v>
      </c>
      <c r="F117" s="4">
        <v>4</v>
      </c>
      <c r="G117" s="4">
        <v>1</v>
      </c>
      <c r="H117" s="4">
        <v>0.18</v>
      </c>
      <c r="I117">
        <f>VLOOKUP(A117,[1]Datasheet_2!$A$2:$H$611,2,FALSE)</f>
        <v>115</v>
      </c>
      <c r="J117">
        <f>VLOOKUP(A117,[1]Datasheet_2!$A$2:$H$611,3,FALSE)</f>
        <v>0.2424</v>
      </c>
      <c r="K117" s="9">
        <f>VLOOKUP(A117,[1]Datasheet_2!$A$2:$H$611,4,FALSE)</f>
        <v>0.55000000000000004</v>
      </c>
      <c r="L117" s="8">
        <f>VLOOKUP(A117,[1]Datasheet_2!$A$2:$H$611,5,FALSE)</f>
        <v>0</v>
      </c>
      <c r="M117" s="8">
        <f>VLOOKUP(A117,[1]Datasheet_2!$A$2:$H$611,6,FALSE)</f>
        <v>0</v>
      </c>
      <c r="N117" s="8">
        <f>VLOOKUP(A117,[1]Datasheet_2!$A$2:$H$611,7,FALSE)</f>
        <v>11</v>
      </c>
      <c r="O117" s="9">
        <f>VLOOKUP(A117,[1]Datasheet_2!$A$2:$H$611,8,FALSE)</f>
        <v>11</v>
      </c>
    </row>
    <row r="118" spans="1:15" x14ac:dyDescent="0.3">
      <c r="A118" s="4">
        <v>117</v>
      </c>
      <c r="B118" s="5">
        <v>40549</v>
      </c>
      <c r="C118" s="4">
        <v>1</v>
      </c>
      <c r="D118" s="4">
        <v>1</v>
      </c>
      <c r="E118" s="4" t="b">
        <v>0</v>
      </c>
      <c r="F118" s="4">
        <v>4</v>
      </c>
      <c r="G118" s="4">
        <v>1</v>
      </c>
      <c r="H118" s="4">
        <v>0.16</v>
      </c>
      <c r="I118">
        <f>VLOOKUP(A118,[1]Datasheet_2!$A$2:$H$611,2,FALSE)</f>
        <v>116</v>
      </c>
      <c r="J118">
        <f>VLOOKUP(A118,[1]Datasheet_2!$A$2:$H$611,3,FALSE)</f>
        <v>0.2273</v>
      </c>
      <c r="K118" s="9">
        <f>VLOOKUP(A118,[1]Datasheet_2!$A$2:$H$611,4,FALSE)</f>
        <v>0.64</v>
      </c>
      <c r="L118" s="8">
        <f>VLOOKUP(A118,[1]Datasheet_2!$A$2:$H$611,5,FALSE)</f>
        <v>0</v>
      </c>
      <c r="M118" s="8">
        <f>VLOOKUP(A118,[1]Datasheet_2!$A$2:$H$611,6,FALSE)</f>
        <v>0</v>
      </c>
      <c r="N118" s="8">
        <f>VLOOKUP(A118,[1]Datasheet_2!$A$2:$H$611,7,FALSE)</f>
        <v>4</v>
      </c>
      <c r="O118" s="9">
        <f>VLOOKUP(A118,[1]Datasheet_2!$A$2:$H$611,8,FALSE)</f>
        <v>4</v>
      </c>
    </row>
    <row r="119" spans="1:15" x14ac:dyDescent="0.3">
      <c r="A119" s="4">
        <v>118</v>
      </c>
      <c r="B119" s="5">
        <v>40549</v>
      </c>
      <c r="C119" s="4">
        <v>1</v>
      </c>
      <c r="D119" s="4">
        <v>2</v>
      </c>
      <c r="E119" s="4" t="b">
        <v>0</v>
      </c>
      <c r="F119" s="4">
        <v>4</v>
      </c>
      <c r="G119" s="4">
        <v>1</v>
      </c>
      <c r="H119" s="4">
        <v>0.16</v>
      </c>
      <c r="I119">
        <f>VLOOKUP(A119,[1]Datasheet_2!$A$2:$H$611,2,FALSE)</f>
        <v>117</v>
      </c>
      <c r="J119">
        <f>VLOOKUP(A119,[1]Datasheet_2!$A$2:$H$611,3,FALSE)</f>
        <v>0.2273</v>
      </c>
      <c r="K119" s="9">
        <f>VLOOKUP(A119,[1]Datasheet_2!$A$2:$H$611,4,FALSE)</f>
        <v>0.64</v>
      </c>
      <c r="L119" s="8">
        <f>VLOOKUP(A119,[1]Datasheet_2!$A$2:$H$611,5,FALSE)</f>
        <v>0</v>
      </c>
      <c r="M119" s="8">
        <f>VLOOKUP(A119,[1]Datasheet_2!$A$2:$H$611,6,FALSE)</f>
        <v>0</v>
      </c>
      <c r="N119" s="8">
        <f>VLOOKUP(A119,[1]Datasheet_2!$A$2:$H$611,7,FALSE)</f>
        <v>2</v>
      </c>
      <c r="O119" s="9">
        <f>VLOOKUP(A119,[1]Datasheet_2!$A$2:$H$611,8,FALSE)</f>
        <v>2</v>
      </c>
    </row>
    <row r="120" spans="1:15" x14ac:dyDescent="0.3">
      <c r="A120" s="4">
        <v>119</v>
      </c>
      <c r="B120" s="5">
        <v>40549</v>
      </c>
      <c r="C120" s="4">
        <v>1</v>
      </c>
      <c r="D120" s="4">
        <v>4</v>
      </c>
      <c r="E120" s="4" t="b">
        <v>0</v>
      </c>
      <c r="F120" s="4">
        <v>4</v>
      </c>
      <c r="G120" s="4">
        <v>2</v>
      </c>
      <c r="H120" s="4">
        <v>0.16</v>
      </c>
      <c r="I120">
        <f>VLOOKUP(A120,[1]Datasheet_2!$A$2:$H$611,2,FALSE)</f>
        <v>118</v>
      </c>
      <c r="J120">
        <f>VLOOKUP(A120,[1]Datasheet_2!$A$2:$H$611,3,FALSE)</f>
        <v>0.19700000000000001</v>
      </c>
      <c r="K120" s="9">
        <f>VLOOKUP(A120,[1]Datasheet_2!$A$2:$H$611,4,FALSE)</f>
        <v>0.64</v>
      </c>
      <c r="L120" s="8">
        <f>VLOOKUP(A120,[1]Datasheet_2!$A$2:$H$611,5,FALSE)</f>
        <v>8.9599999999999999E-2</v>
      </c>
      <c r="M120" s="8">
        <f>VLOOKUP(A120,[1]Datasheet_2!$A$2:$H$611,6,FALSE)</f>
        <v>0</v>
      </c>
      <c r="N120" s="8">
        <f>VLOOKUP(A120,[1]Datasheet_2!$A$2:$H$611,7,FALSE)</f>
        <v>1</v>
      </c>
      <c r="O120" s="9">
        <f>VLOOKUP(A120,[1]Datasheet_2!$A$2:$H$611,8,FALSE)</f>
        <v>1</v>
      </c>
    </row>
    <row r="121" spans="1:15" x14ac:dyDescent="0.3">
      <c r="A121" s="4">
        <v>120</v>
      </c>
      <c r="B121" s="5">
        <v>40549</v>
      </c>
      <c r="C121" s="4">
        <v>1</v>
      </c>
      <c r="D121" s="4">
        <v>5</v>
      </c>
      <c r="E121" s="4" t="b">
        <v>0</v>
      </c>
      <c r="F121" s="4">
        <v>4</v>
      </c>
      <c r="G121" s="4">
        <v>2</v>
      </c>
      <c r="H121" s="4">
        <v>0.14000000000000001</v>
      </c>
      <c r="I121">
        <f>VLOOKUP(A121,[1]Datasheet_2!$A$2:$H$611,2,FALSE)</f>
        <v>119</v>
      </c>
      <c r="J121">
        <f>VLOOKUP(A121,[1]Datasheet_2!$A$2:$H$611,3,FALSE)</f>
        <v>0.18179999999999999</v>
      </c>
      <c r="K121" s="9">
        <f>VLOOKUP(A121,[1]Datasheet_2!$A$2:$H$611,4,FALSE)</f>
        <v>0.69</v>
      </c>
      <c r="L121" s="8">
        <f>VLOOKUP(A121,[1]Datasheet_2!$A$2:$H$611,5,FALSE)</f>
        <v>8.9599999999999999E-2</v>
      </c>
      <c r="M121" s="8">
        <f>VLOOKUP(A121,[1]Datasheet_2!$A$2:$H$611,6,FALSE)</f>
        <v>0</v>
      </c>
      <c r="N121" s="8">
        <f>VLOOKUP(A121,[1]Datasheet_2!$A$2:$H$611,7,FALSE)</f>
        <v>4</v>
      </c>
      <c r="O121" s="9">
        <f>VLOOKUP(A121,[1]Datasheet_2!$A$2:$H$611,8,FALSE)</f>
        <v>4</v>
      </c>
    </row>
    <row r="122" spans="1:15" x14ac:dyDescent="0.3">
      <c r="A122" s="4">
        <v>121</v>
      </c>
      <c r="B122" s="5">
        <v>40549</v>
      </c>
      <c r="C122" s="4">
        <v>1</v>
      </c>
      <c r="D122" s="4">
        <v>6</v>
      </c>
      <c r="E122" s="4" t="b">
        <v>0</v>
      </c>
      <c r="F122" s="4">
        <v>4</v>
      </c>
      <c r="G122" s="4">
        <v>2</v>
      </c>
      <c r="H122" s="4">
        <v>0.14000000000000001</v>
      </c>
      <c r="I122">
        <f>VLOOKUP(A122,[1]Datasheet_2!$A$2:$H$611,2,FALSE)</f>
        <v>120</v>
      </c>
      <c r="J122">
        <f>VLOOKUP(A122,[1]Datasheet_2!$A$2:$H$611,3,FALSE)</f>
        <v>0.16669999999999999</v>
      </c>
      <c r="K122" s="9">
        <f>VLOOKUP(A122,[1]Datasheet_2!$A$2:$H$611,4,FALSE)</f>
        <v>0.63</v>
      </c>
      <c r="L122" s="8">
        <f>VLOOKUP(A122,[1]Datasheet_2!$A$2:$H$611,5,FALSE)</f>
        <v>0.1045</v>
      </c>
      <c r="M122" s="8">
        <f>VLOOKUP(A122,[1]Datasheet_2!$A$2:$H$611,6,FALSE)</f>
        <v>0</v>
      </c>
      <c r="N122" s="8">
        <f>VLOOKUP(A122,[1]Datasheet_2!$A$2:$H$611,7,FALSE)</f>
        <v>36</v>
      </c>
      <c r="O122" s="9">
        <f>VLOOKUP(A122,[1]Datasheet_2!$A$2:$H$611,8,FALSE)</f>
        <v>36</v>
      </c>
    </row>
    <row r="123" spans="1:15" x14ac:dyDescent="0.3">
      <c r="A123" s="4">
        <v>122</v>
      </c>
      <c r="B123" s="5">
        <v>40549</v>
      </c>
      <c r="C123" s="4">
        <v>1</v>
      </c>
      <c r="D123" s="4">
        <v>7</v>
      </c>
      <c r="E123" s="4" t="b">
        <v>0</v>
      </c>
      <c r="F123" s="4">
        <v>4</v>
      </c>
      <c r="G123" s="4">
        <v>2</v>
      </c>
      <c r="H123" s="4">
        <v>0.16</v>
      </c>
      <c r="I123">
        <f>VLOOKUP(A123,[1]Datasheet_2!$A$2:$H$611,2,FALSE)</f>
        <v>121</v>
      </c>
      <c r="J123">
        <f>VLOOKUP(A123,[1]Datasheet_2!$A$2:$H$611,3,FALSE)</f>
        <v>0.2273</v>
      </c>
      <c r="K123" s="9">
        <f>VLOOKUP(A123,[1]Datasheet_2!$A$2:$H$611,4,FALSE)</f>
        <v>0.59</v>
      </c>
      <c r="L123" s="8">
        <f>VLOOKUP(A123,[1]Datasheet_2!$A$2:$H$611,5,FALSE)</f>
        <v>0</v>
      </c>
      <c r="M123" s="8">
        <f>VLOOKUP(A123,[1]Datasheet_2!$A$2:$H$611,6,FALSE)</f>
        <v>0</v>
      </c>
      <c r="N123" s="8">
        <f>VLOOKUP(A123,[1]Datasheet_2!$A$2:$H$611,7,FALSE)</f>
        <v>95</v>
      </c>
      <c r="O123" s="9">
        <f>VLOOKUP(A123,[1]Datasheet_2!$A$2:$H$611,8,FALSE)</f>
        <v>95</v>
      </c>
    </row>
    <row r="124" spans="1:15" x14ac:dyDescent="0.3">
      <c r="A124" s="4">
        <v>123</v>
      </c>
      <c r="B124" s="5">
        <v>40549</v>
      </c>
      <c r="C124" s="4">
        <v>1</v>
      </c>
      <c r="D124" s="4">
        <v>8</v>
      </c>
      <c r="E124" s="4" t="b">
        <v>0</v>
      </c>
      <c r="F124" s="4">
        <v>4</v>
      </c>
      <c r="G124" s="4">
        <v>1</v>
      </c>
      <c r="H124" s="4">
        <v>0.16</v>
      </c>
      <c r="I124">
        <f>VLOOKUP(A124,[1]Datasheet_2!$A$2:$H$611,2,FALSE)</f>
        <v>122</v>
      </c>
      <c r="J124">
        <f>VLOOKUP(A124,[1]Datasheet_2!$A$2:$H$611,3,FALSE)</f>
        <v>0.2273</v>
      </c>
      <c r="K124" s="9">
        <f>VLOOKUP(A124,[1]Datasheet_2!$A$2:$H$611,4,FALSE)</f>
        <v>0.59</v>
      </c>
      <c r="L124" s="8">
        <f>VLOOKUP(A124,[1]Datasheet_2!$A$2:$H$611,5,FALSE)</f>
        <v>0</v>
      </c>
      <c r="M124" s="8">
        <f>VLOOKUP(A124,[1]Datasheet_2!$A$2:$H$611,6,FALSE)</f>
        <v>3</v>
      </c>
      <c r="N124" s="8">
        <f>VLOOKUP(A124,[1]Datasheet_2!$A$2:$H$611,7,FALSE)</f>
        <v>216</v>
      </c>
      <c r="O124" s="9">
        <f>VLOOKUP(A124,[1]Datasheet_2!$A$2:$H$611,8,FALSE)</f>
        <v>219</v>
      </c>
    </row>
    <row r="125" spans="1:15" x14ac:dyDescent="0.3">
      <c r="A125" s="4">
        <v>124</v>
      </c>
      <c r="B125" s="5">
        <v>40549</v>
      </c>
      <c r="C125" s="4">
        <v>1</v>
      </c>
      <c r="D125" s="4">
        <v>9</v>
      </c>
      <c r="E125" s="4" t="b">
        <v>0</v>
      </c>
      <c r="F125" s="4">
        <v>4</v>
      </c>
      <c r="G125" s="4">
        <v>2</v>
      </c>
      <c r="H125" s="4">
        <v>0.18</v>
      </c>
      <c r="I125">
        <f>VLOOKUP(A125,[1]Datasheet_2!$A$2:$H$611,2,FALSE)</f>
        <v>123</v>
      </c>
      <c r="J125">
        <f>VLOOKUP(A125,[1]Datasheet_2!$A$2:$H$611,3,FALSE)</f>
        <v>0.2424</v>
      </c>
      <c r="K125" s="9">
        <f>VLOOKUP(A125,[1]Datasheet_2!$A$2:$H$611,4,FALSE)</f>
        <v>0.51</v>
      </c>
      <c r="L125" s="8">
        <f>VLOOKUP(A125,[1]Datasheet_2!$A$2:$H$611,5,FALSE)</f>
        <v>0</v>
      </c>
      <c r="M125" s="8">
        <f>VLOOKUP(A125,[1]Datasheet_2!$A$2:$H$611,6,FALSE)</f>
        <v>6</v>
      </c>
      <c r="N125" s="8">
        <f>VLOOKUP(A125,[1]Datasheet_2!$A$2:$H$611,7,FALSE)</f>
        <v>116</v>
      </c>
      <c r="O125" s="9">
        <f>VLOOKUP(A125,[1]Datasheet_2!$A$2:$H$611,8,FALSE)</f>
        <v>122</v>
      </c>
    </row>
    <row r="126" spans="1:15" x14ac:dyDescent="0.3">
      <c r="A126" s="4">
        <v>125</v>
      </c>
      <c r="B126" s="5">
        <v>40549</v>
      </c>
      <c r="C126" s="4">
        <v>1</v>
      </c>
      <c r="D126" s="4">
        <v>10</v>
      </c>
      <c r="E126" s="4" t="b">
        <v>0</v>
      </c>
      <c r="F126" s="4">
        <v>4</v>
      </c>
      <c r="G126" s="4">
        <v>1</v>
      </c>
      <c r="H126" s="4">
        <v>0.2</v>
      </c>
      <c r="I126">
        <f>VLOOKUP(A126,[1]Datasheet_2!$A$2:$H$611,2,FALSE)</f>
        <v>124</v>
      </c>
      <c r="J126">
        <f>VLOOKUP(A126,[1]Datasheet_2!$A$2:$H$611,3,FALSE)</f>
        <v>0.2576</v>
      </c>
      <c r="K126" s="9">
        <f>VLOOKUP(A126,[1]Datasheet_2!$A$2:$H$611,4,FALSE)</f>
        <v>0.47</v>
      </c>
      <c r="L126" s="8">
        <f>VLOOKUP(A126,[1]Datasheet_2!$A$2:$H$611,5,FALSE)</f>
        <v>0</v>
      </c>
      <c r="M126" s="8">
        <f>VLOOKUP(A126,[1]Datasheet_2!$A$2:$H$611,6,FALSE)</f>
        <v>3</v>
      </c>
      <c r="N126" s="8">
        <f>VLOOKUP(A126,[1]Datasheet_2!$A$2:$H$611,7,FALSE)</f>
        <v>42</v>
      </c>
      <c r="O126" s="9">
        <f>VLOOKUP(A126,[1]Datasheet_2!$A$2:$H$611,8,FALSE)</f>
        <v>45</v>
      </c>
    </row>
    <row r="127" spans="1:15" x14ac:dyDescent="0.3">
      <c r="A127" s="4">
        <v>126</v>
      </c>
      <c r="B127" s="5">
        <v>40549</v>
      </c>
      <c r="C127" s="4">
        <v>1</v>
      </c>
      <c r="D127" s="4">
        <v>11</v>
      </c>
      <c r="E127" s="4" t="b">
        <v>0</v>
      </c>
      <c r="F127" s="4">
        <v>4</v>
      </c>
      <c r="G127" s="4">
        <v>1</v>
      </c>
      <c r="H127" s="4">
        <v>0.22</v>
      </c>
      <c r="I127">
        <f>VLOOKUP(A127,[1]Datasheet_2!$A$2:$H$611,2,FALSE)</f>
        <v>125</v>
      </c>
      <c r="J127">
        <f>VLOOKUP(A127,[1]Datasheet_2!$A$2:$H$611,3,FALSE)</f>
        <v>0.2576</v>
      </c>
      <c r="K127" s="9">
        <f>VLOOKUP(A127,[1]Datasheet_2!$A$2:$H$611,4,FALSE)</f>
        <v>0.44</v>
      </c>
      <c r="L127" s="8">
        <f>VLOOKUP(A127,[1]Datasheet_2!$A$2:$H$611,5,FALSE)</f>
        <v>8.9599999999999999E-2</v>
      </c>
      <c r="M127" s="8">
        <f>VLOOKUP(A127,[1]Datasheet_2!$A$2:$H$611,6,FALSE)</f>
        <v>2</v>
      </c>
      <c r="N127" s="8">
        <f>VLOOKUP(A127,[1]Datasheet_2!$A$2:$H$611,7,FALSE)</f>
        <v>57</v>
      </c>
      <c r="O127" s="9">
        <f>VLOOKUP(A127,[1]Datasheet_2!$A$2:$H$611,8,FALSE)</f>
        <v>59</v>
      </c>
    </row>
    <row r="128" spans="1:15" x14ac:dyDescent="0.3">
      <c r="A128" s="4">
        <v>127</v>
      </c>
      <c r="B128" s="5">
        <v>40549</v>
      </c>
      <c r="C128" s="4">
        <v>1</v>
      </c>
      <c r="D128" s="4">
        <v>12</v>
      </c>
      <c r="E128" s="4" t="b">
        <v>0</v>
      </c>
      <c r="F128" s="4">
        <v>4</v>
      </c>
      <c r="G128" s="4">
        <v>1</v>
      </c>
      <c r="H128" s="4">
        <v>0.26</v>
      </c>
      <c r="I128">
        <f>VLOOKUP(A128,[1]Datasheet_2!$A$2:$H$611,2,FALSE)</f>
        <v>126</v>
      </c>
      <c r="J128">
        <f>VLOOKUP(A128,[1]Datasheet_2!$A$2:$H$611,3,FALSE)</f>
        <v>0.28789999999999999</v>
      </c>
      <c r="K128" s="9">
        <f>VLOOKUP(A128,[1]Datasheet_2!$A$2:$H$611,4,FALSE)</f>
        <v>0.35</v>
      </c>
      <c r="L128" s="8">
        <f>VLOOKUP(A128,[1]Datasheet_2!$A$2:$H$611,5,FALSE)</f>
        <v>0</v>
      </c>
      <c r="M128" s="8">
        <f>VLOOKUP(A128,[1]Datasheet_2!$A$2:$H$611,6,FALSE)</f>
        <v>6</v>
      </c>
      <c r="N128" s="8">
        <f>VLOOKUP(A128,[1]Datasheet_2!$A$2:$H$611,7,FALSE)</f>
        <v>78</v>
      </c>
      <c r="O128" s="9">
        <f>VLOOKUP(A128,[1]Datasheet_2!$A$2:$H$611,8,FALSE)</f>
        <v>84</v>
      </c>
    </row>
    <row r="129" spans="1:15" x14ac:dyDescent="0.3">
      <c r="A129" s="4">
        <v>128</v>
      </c>
      <c r="B129" s="5">
        <v>40549</v>
      </c>
      <c r="C129" s="4">
        <v>1</v>
      </c>
      <c r="D129" s="4">
        <v>13</v>
      </c>
      <c r="E129" s="4" t="b">
        <v>0</v>
      </c>
      <c r="F129" s="4">
        <v>4</v>
      </c>
      <c r="G129" s="4">
        <v>1</v>
      </c>
      <c r="H129" s="4">
        <v>0.26</v>
      </c>
      <c r="I129">
        <f>VLOOKUP(A129,[1]Datasheet_2!$A$2:$H$611,2,FALSE)</f>
        <v>127</v>
      </c>
      <c r="J129">
        <f>VLOOKUP(A129,[1]Datasheet_2!$A$2:$H$611,3,FALSE)</f>
        <v>0.2727</v>
      </c>
      <c r="K129" s="9">
        <f>VLOOKUP(A129,[1]Datasheet_2!$A$2:$H$611,4,FALSE)</f>
        <v>0.35</v>
      </c>
      <c r="L129" s="8">
        <f>VLOOKUP(A129,[1]Datasheet_2!$A$2:$H$611,5,FALSE)</f>
        <v>0.1045</v>
      </c>
      <c r="M129" s="8">
        <f>VLOOKUP(A129,[1]Datasheet_2!$A$2:$H$611,6,FALSE)</f>
        <v>12</v>
      </c>
      <c r="N129" s="8">
        <f>VLOOKUP(A129,[1]Datasheet_2!$A$2:$H$611,7,FALSE)</f>
        <v>55</v>
      </c>
      <c r="O129" s="9">
        <f>VLOOKUP(A129,[1]Datasheet_2!$A$2:$H$611,8,FALSE)</f>
        <v>67</v>
      </c>
    </row>
    <row r="130" spans="1:15" x14ac:dyDescent="0.3">
      <c r="A130" s="4">
        <v>129</v>
      </c>
      <c r="B130" s="5">
        <v>40549</v>
      </c>
      <c r="C130" s="4">
        <v>1</v>
      </c>
      <c r="D130" s="4">
        <v>14</v>
      </c>
      <c r="E130" s="4" t="b">
        <v>0</v>
      </c>
      <c r="F130" s="4">
        <v>4</v>
      </c>
      <c r="G130" s="4">
        <v>1</v>
      </c>
      <c r="H130" s="4">
        <v>0.28000000000000003</v>
      </c>
      <c r="I130">
        <f>VLOOKUP(A130,[1]Datasheet_2!$A$2:$H$611,2,FALSE)</f>
        <v>128</v>
      </c>
      <c r="J130">
        <f>VLOOKUP(A130,[1]Datasheet_2!$A$2:$H$611,3,FALSE)</f>
        <v>0.2727</v>
      </c>
      <c r="K130" s="9">
        <f>VLOOKUP(A130,[1]Datasheet_2!$A$2:$H$611,4,FALSE)</f>
        <v>0.36</v>
      </c>
      <c r="L130" s="8">
        <f>VLOOKUP(A130,[1]Datasheet_2!$A$2:$H$611,5,FALSE)</f>
        <v>0.16420000000000001</v>
      </c>
      <c r="M130" s="8">
        <f>VLOOKUP(A130,[1]Datasheet_2!$A$2:$H$611,6,FALSE)</f>
        <v>11</v>
      </c>
      <c r="N130" s="8">
        <f>VLOOKUP(A130,[1]Datasheet_2!$A$2:$H$611,7,FALSE)</f>
        <v>59</v>
      </c>
      <c r="O130" s="9">
        <f>VLOOKUP(A130,[1]Datasheet_2!$A$2:$H$611,8,FALSE)</f>
        <v>70</v>
      </c>
    </row>
    <row r="131" spans="1:15" x14ac:dyDescent="0.3">
      <c r="A131" s="4">
        <v>130</v>
      </c>
      <c r="B131" s="5">
        <v>40549</v>
      </c>
      <c r="C131" s="4">
        <v>1</v>
      </c>
      <c r="D131" s="4">
        <v>15</v>
      </c>
      <c r="E131" s="4" t="b">
        <v>0</v>
      </c>
      <c r="F131" s="4">
        <v>4</v>
      </c>
      <c r="G131" s="4">
        <v>1</v>
      </c>
      <c r="H131" s="4">
        <v>0.28000000000000003</v>
      </c>
      <c r="I131">
        <f>VLOOKUP(A131,[1]Datasheet_2!$A$2:$H$611,2,FALSE)</f>
        <v>129</v>
      </c>
      <c r="J131">
        <f>VLOOKUP(A131,[1]Datasheet_2!$A$2:$H$611,3,FALSE)</f>
        <v>0.2727</v>
      </c>
      <c r="K131" s="9">
        <f>VLOOKUP(A131,[1]Datasheet_2!$A$2:$H$611,4,FALSE)</f>
        <v>0.36</v>
      </c>
      <c r="L131" s="8">
        <f>VLOOKUP(A131,[1]Datasheet_2!$A$2:$H$611,5,FALSE)</f>
        <v>0</v>
      </c>
      <c r="M131" s="8">
        <f>VLOOKUP(A131,[1]Datasheet_2!$A$2:$H$611,6,FALSE)</f>
        <v>8</v>
      </c>
      <c r="N131" s="8">
        <f>VLOOKUP(A131,[1]Datasheet_2!$A$2:$H$611,7,FALSE)</f>
        <v>54</v>
      </c>
      <c r="O131" s="9">
        <f>VLOOKUP(A131,[1]Datasheet_2!$A$2:$H$611,8,FALSE)</f>
        <v>62</v>
      </c>
    </row>
    <row r="132" spans="1:15" x14ac:dyDescent="0.3">
      <c r="A132" s="4">
        <v>131</v>
      </c>
      <c r="B132" s="5">
        <v>40549</v>
      </c>
      <c r="C132" s="4">
        <v>1</v>
      </c>
      <c r="D132" s="4">
        <v>16</v>
      </c>
      <c r="E132" s="4" t="b">
        <v>0</v>
      </c>
      <c r="F132" s="4">
        <v>4</v>
      </c>
      <c r="G132" s="4">
        <v>1</v>
      </c>
      <c r="H132" s="4">
        <v>0.26</v>
      </c>
      <c r="I132">
        <f>VLOOKUP(A132,[1]Datasheet_2!$A$2:$H$611,2,FALSE)</f>
        <v>130</v>
      </c>
      <c r="J132">
        <f>VLOOKUP(A132,[1]Datasheet_2!$A$2:$H$611,3,FALSE)</f>
        <v>0.2576</v>
      </c>
      <c r="K132" s="9">
        <f>VLOOKUP(A132,[1]Datasheet_2!$A$2:$H$611,4,FALSE)</f>
        <v>0.38</v>
      </c>
      <c r="L132" s="8">
        <f>VLOOKUP(A132,[1]Datasheet_2!$A$2:$H$611,5,FALSE)</f>
        <v>0.16420000000000001</v>
      </c>
      <c r="M132" s="8">
        <f>VLOOKUP(A132,[1]Datasheet_2!$A$2:$H$611,6,FALSE)</f>
        <v>12</v>
      </c>
      <c r="N132" s="8">
        <f>VLOOKUP(A132,[1]Datasheet_2!$A$2:$H$611,7,FALSE)</f>
        <v>74</v>
      </c>
      <c r="O132" s="9">
        <f>VLOOKUP(A132,[1]Datasheet_2!$A$2:$H$611,8,FALSE)</f>
        <v>86</v>
      </c>
    </row>
    <row r="133" spans="1:15" x14ac:dyDescent="0.3">
      <c r="A133" s="4">
        <v>132</v>
      </c>
      <c r="B133" s="5">
        <v>40549</v>
      </c>
      <c r="C133" s="4">
        <v>1</v>
      </c>
      <c r="D133" s="4">
        <v>17</v>
      </c>
      <c r="E133" s="4" t="b">
        <v>0</v>
      </c>
      <c r="F133" s="4">
        <v>4</v>
      </c>
      <c r="G133" s="4">
        <v>1</v>
      </c>
      <c r="H133" s="4">
        <v>0.22</v>
      </c>
      <c r="I133">
        <f>VLOOKUP(A133,[1]Datasheet_2!$A$2:$H$611,2,FALSE)</f>
        <v>131</v>
      </c>
      <c r="J133">
        <f>VLOOKUP(A133,[1]Datasheet_2!$A$2:$H$611,3,FALSE)</f>
        <v>0.2273</v>
      </c>
      <c r="K133" s="9">
        <f>VLOOKUP(A133,[1]Datasheet_2!$A$2:$H$611,4,FALSE)</f>
        <v>0.51</v>
      </c>
      <c r="L133" s="8">
        <f>VLOOKUP(A133,[1]Datasheet_2!$A$2:$H$611,5,FALSE)</f>
        <v>0.16420000000000001</v>
      </c>
      <c r="M133" s="8">
        <f>VLOOKUP(A133,[1]Datasheet_2!$A$2:$H$611,6,FALSE)</f>
        <v>9</v>
      </c>
      <c r="N133" s="8">
        <f>VLOOKUP(A133,[1]Datasheet_2!$A$2:$H$611,7,FALSE)</f>
        <v>163</v>
      </c>
      <c r="O133" s="9">
        <f>VLOOKUP(A133,[1]Datasheet_2!$A$2:$H$611,8,FALSE)</f>
        <v>172</v>
      </c>
    </row>
    <row r="134" spans="1:15" x14ac:dyDescent="0.3">
      <c r="A134" s="4">
        <v>133</v>
      </c>
      <c r="B134" s="5">
        <v>40549</v>
      </c>
      <c r="C134" s="4">
        <v>1</v>
      </c>
      <c r="D134" s="4">
        <v>18</v>
      </c>
      <c r="E134" s="4" t="b">
        <v>0</v>
      </c>
      <c r="F134" s="4">
        <v>4</v>
      </c>
      <c r="G134" s="4">
        <v>1</v>
      </c>
      <c r="H134" s="4">
        <v>0.22</v>
      </c>
      <c r="I134">
        <f>VLOOKUP(A134,[1]Datasheet_2!$A$2:$H$611,2,FALSE)</f>
        <v>132</v>
      </c>
      <c r="J134">
        <f>VLOOKUP(A134,[1]Datasheet_2!$A$2:$H$611,3,FALSE)</f>
        <v>0.2273</v>
      </c>
      <c r="K134" s="9">
        <f>VLOOKUP(A134,[1]Datasheet_2!$A$2:$H$611,4,FALSE)</f>
        <v>0.51</v>
      </c>
      <c r="L134" s="8">
        <f>VLOOKUP(A134,[1]Datasheet_2!$A$2:$H$611,5,FALSE)</f>
        <v>0.1343</v>
      </c>
      <c r="M134" s="8">
        <f>VLOOKUP(A134,[1]Datasheet_2!$A$2:$H$611,6,FALSE)</f>
        <v>5</v>
      </c>
      <c r="N134" s="8">
        <f>VLOOKUP(A134,[1]Datasheet_2!$A$2:$H$611,7,FALSE)</f>
        <v>158</v>
      </c>
      <c r="O134" s="9">
        <f>VLOOKUP(A134,[1]Datasheet_2!$A$2:$H$611,8,FALSE)</f>
        <v>163</v>
      </c>
    </row>
    <row r="135" spans="1:15" x14ac:dyDescent="0.3">
      <c r="A135" s="4">
        <v>134</v>
      </c>
      <c r="B135" s="5">
        <v>40549</v>
      </c>
      <c r="C135" s="4">
        <v>1</v>
      </c>
      <c r="D135" s="4">
        <v>19</v>
      </c>
      <c r="E135" s="4" t="b">
        <v>0</v>
      </c>
      <c r="F135" s="4">
        <v>4</v>
      </c>
      <c r="G135" s="4">
        <v>1</v>
      </c>
      <c r="H135" s="4">
        <v>0.22</v>
      </c>
      <c r="I135">
        <f>VLOOKUP(A135,[1]Datasheet_2!$A$2:$H$611,2,FALSE)</f>
        <v>133</v>
      </c>
      <c r="J135">
        <f>VLOOKUP(A135,[1]Datasheet_2!$A$2:$H$611,3,FALSE)</f>
        <v>0.2576</v>
      </c>
      <c r="K135" s="9">
        <f>VLOOKUP(A135,[1]Datasheet_2!$A$2:$H$611,4,FALSE)</f>
        <v>0.55000000000000004</v>
      </c>
      <c r="L135" s="8">
        <f>VLOOKUP(A135,[1]Datasheet_2!$A$2:$H$611,5,FALSE)</f>
        <v>8.9599999999999999E-2</v>
      </c>
      <c r="M135" s="8">
        <f>VLOOKUP(A135,[1]Datasheet_2!$A$2:$H$611,6,FALSE)</f>
        <v>3</v>
      </c>
      <c r="N135" s="8">
        <f>VLOOKUP(A135,[1]Datasheet_2!$A$2:$H$611,7,FALSE)</f>
        <v>109</v>
      </c>
      <c r="O135" s="9">
        <f>VLOOKUP(A135,[1]Datasheet_2!$A$2:$H$611,8,FALSE)</f>
        <v>112</v>
      </c>
    </row>
    <row r="136" spans="1:15" x14ac:dyDescent="0.3">
      <c r="A136" s="4">
        <v>135</v>
      </c>
      <c r="B136" s="5">
        <v>40549</v>
      </c>
      <c r="C136" s="4">
        <v>1</v>
      </c>
      <c r="D136" s="4">
        <v>20</v>
      </c>
      <c r="E136" s="4" t="b">
        <v>0</v>
      </c>
      <c r="F136" s="4">
        <v>4</v>
      </c>
      <c r="G136" s="4">
        <v>1</v>
      </c>
      <c r="H136" s="4">
        <v>0.2</v>
      </c>
      <c r="I136">
        <f>VLOOKUP(A136,[1]Datasheet_2!$A$2:$H$611,2,FALSE)</f>
        <v>134</v>
      </c>
      <c r="J136">
        <f>VLOOKUP(A136,[1]Datasheet_2!$A$2:$H$611,3,FALSE)</f>
        <v>0.21210000000000001</v>
      </c>
      <c r="K136" s="9">
        <f>VLOOKUP(A136,[1]Datasheet_2!$A$2:$H$611,4,FALSE)</f>
        <v>0.51</v>
      </c>
      <c r="L136" s="8">
        <f>VLOOKUP(A136,[1]Datasheet_2!$A$2:$H$611,5,FALSE)</f>
        <v>0.16420000000000001</v>
      </c>
      <c r="M136" s="8">
        <f>VLOOKUP(A136,[1]Datasheet_2!$A$2:$H$611,6,FALSE)</f>
        <v>3</v>
      </c>
      <c r="N136" s="8">
        <f>VLOOKUP(A136,[1]Datasheet_2!$A$2:$H$611,7,FALSE)</f>
        <v>66</v>
      </c>
      <c r="O136" s="9">
        <f>VLOOKUP(A136,[1]Datasheet_2!$A$2:$H$611,8,FALSE)</f>
        <v>69</v>
      </c>
    </row>
    <row r="137" spans="1:15" x14ac:dyDescent="0.3">
      <c r="A137" s="4">
        <v>136</v>
      </c>
      <c r="B137" s="5">
        <v>40549</v>
      </c>
      <c r="C137" s="4">
        <v>1</v>
      </c>
      <c r="D137" s="4">
        <v>21</v>
      </c>
      <c r="E137" s="4" t="b">
        <v>0</v>
      </c>
      <c r="F137" s="4">
        <v>4</v>
      </c>
      <c r="G137" s="4">
        <v>2</v>
      </c>
      <c r="H137" s="4">
        <v>0.22</v>
      </c>
      <c r="I137">
        <f>VLOOKUP(A137,[1]Datasheet_2!$A$2:$H$611,2,FALSE)</f>
        <v>135</v>
      </c>
      <c r="J137">
        <f>VLOOKUP(A137,[1]Datasheet_2!$A$2:$H$611,3,FALSE)</f>
        <v>0.21210000000000001</v>
      </c>
      <c r="K137" s="9">
        <f>VLOOKUP(A137,[1]Datasheet_2!$A$2:$H$611,4,FALSE)</f>
        <v>0.55000000000000004</v>
      </c>
      <c r="L137" s="8">
        <f>VLOOKUP(A137,[1]Datasheet_2!$A$2:$H$611,5,FALSE)</f>
        <v>0.22389999999999999</v>
      </c>
      <c r="M137" s="8">
        <f>VLOOKUP(A137,[1]Datasheet_2!$A$2:$H$611,6,FALSE)</f>
        <v>0</v>
      </c>
      <c r="N137" s="8">
        <f>VLOOKUP(A137,[1]Datasheet_2!$A$2:$H$611,7,FALSE)</f>
        <v>48</v>
      </c>
      <c r="O137" s="9">
        <f>VLOOKUP(A137,[1]Datasheet_2!$A$2:$H$611,8,FALSE)</f>
        <v>48</v>
      </c>
    </row>
    <row r="138" spans="1:15" x14ac:dyDescent="0.3">
      <c r="A138" s="4">
        <v>137</v>
      </c>
      <c r="B138" s="5">
        <v>40549</v>
      </c>
      <c r="C138" s="4">
        <v>1</v>
      </c>
      <c r="D138" s="4">
        <v>22</v>
      </c>
      <c r="E138" s="4" t="b">
        <v>0</v>
      </c>
      <c r="F138" s="4">
        <v>4</v>
      </c>
      <c r="G138" s="4">
        <v>2</v>
      </c>
      <c r="H138" s="4">
        <v>0.22</v>
      </c>
      <c r="I138">
        <f>VLOOKUP(A138,[1]Datasheet_2!$A$2:$H$611,2,FALSE)</f>
        <v>136</v>
      </c>
      <c r="J138">
        <f>VLOOKUP(A138,[1]Datasheet_2!$A$2:$H$611,3,FALSE)</f>
        <v>0.21210000000000001</v>
      </c>
      <c r="K138" s="9">
        <f>VLOOKUP(A138,[1]Datasheet_2!$A$2:$H$611,4,FALSE)</f>
        <v>0.51</v>
      </c>
      <c r="L138" s="8">
        <f>VLOOKUP(A138,[1]Datasheet_2!$A$2:$H$611,5,FALSE)</f>
        <v>0.28360000000000002</v>
      </c>
      <c r="M138" s="8">
        <f>VLOOKUP(A138,[1]Datasheet_2!$A$2:$H$611,6,FALSE)</f>
        <v>1</v>
      </c>
      <c r="N138" s="8">
        <f>VLOOKUP(A138,[1]Datasheet_2!$A$2:$H$611,7,FALSE)</f>
        <v>51</v>
      </c>
      <c r="O138" s="9">
        <f>VLOOKUP(A138,[1]Datasheet_2!$A$2:$H$611,8,FALSE)</f>
        <v>52</v>
      </c>
    </row>
    <row r="139" spans="1:15" x14ac:dyDescent="0.3">
      <c r="A139" s="4">
        <v>138</v>
      </c>
      <c r="B139" s="5">
        <v>40549</v>
      </c>
      <c r="C139" s="4">
        <v>1</v>
      </c>
      <c r="D139" s="4">
        <v>23</v>
      </c>
      <c r="E139" s="4" t="b">
        <v>0</v>
      </c>
      <c r="F139" s="4">
        <v>4</v>
      </c>
      <c r="G139" s="4">
        <v>2</v>
      </c>
      <c r="H139" s="4">
        <v>0.2</v>
      </c>
      <c r="I139">
        <f>VLOOKUP(A139,[1]Datasheet_2!$A$2:$H$611,2,FALSE)</f>
        <v>137</v>
      </c>
      <c r="J139">
        <f>VLOOKUP(A139,[1]Datasheet_2!$A$2:$H$611,3,FALSE)</f>
        <v>0.19700000000000001</v>
      </c>
      <c r="K139" s="9">
        <f>VLOOKUP(A139,[1]Datasheet_2!$A$2:$H$611,4,FALSE)</f>
        <v>0.59</v>
      </c>
      <c r="L139" s="8">
        <f>VLOOKUP(A139,[1]Datasheet_2!$A$2:$H$611,5,FALSE)</f>
        <v>0.19400000000000001</v>
      </c>
      <c r="M139" s="8">
        <f>VLOOKUP(A139,[1]Datasheet_2!$A$2:$H$611,6,FALSE)</f>
        <v>4</v>
      </c>
      <c r="N139" s="8">
        <f>VLOOKUP(A139,[1]Datasheet_2!$A$2:$H$611,7,FALSE)</f>
        <v>19</v>
      </c>
      <c r="O139" s="9">
        <f>VLOOKUP(A139,[1]Datasheet_2!$A$2:$H$611,8,FALSE)</f>
        <v>23</v>
      </c>
    </row>
    <row r="140" spans="1:15" x14ac:dyDescent="0.3">
      <c r="A140" s="4">
        <v>139</v>
      </c>
      <c r="B140" s="5">
        <v>40550</v>
      </c>
      <c r="C140" s="4">
        <v>1</v>
      </c>
      <c r="D140" s="4">
        <v>0</v>
      </c>
      <c r="E140" s="4" t="b">
        <v>0</v>
      </c>
      <c r="F140" s="4">
        <v>5</v>
      </c>
      <c r="G140" s="4">
        <v>2</v>
      </c>
      <c r="H140" s="4">
        <v>0.2</v>
      </c>
      <c r="I140">
        <f>VLOOKUP(A140,[1]Datasheet_2!$A$2:$H$611,2,FALSE)</f>
        <v>138</v>
      </c>
      <c r="J140">
        <f>VLOOKUP(A140,[1]Datasheet_2!$A$2:$H$611,3,FALSE)</f>
        <v>0.19700000000000001</v>
      </c>
      <c r="K140" s="9">
        <f>VLOOKUP(A140,[1]Datasheet_2!$A$2:$H$611,4,FALSE)</f>
        <v>0.64</v>
      </c>
      <c r="L140" s="8">
        <f>VLOOKUP(A140,[1]Datasheet_2!$A$2:$H$611,5,FALSE)</f>
        <v>0.19400000000000001</v>
      </c>
      <c r="M140" s="8">
        <f>VLOOKUP(A140,[1]Datasheet_2!$A$2:$H$611,6,FALSE)</f>
        <v>4</v>
      </c>
      <c r="N140" s="8">
        <f>VLOOKUP(A140,[1]Datasheet_2!$A$2:$H$611,7,FALSE)</f>
        <v>13</v>
      </c>
      <c r="O140" s="9">
        <f>VLOOKUP(A140,[1]Datasheet_2!$A$2:$H$611,8,FALSE)</f>
        <v>17</v>
      </c>
    </row>
    <row r="141" spans="1:15" x14ac:dyDescent="0.3">
      <c r="A141" s="4">
        <v>140</v>
      </c>
      <c r="B141" s="5">
        <v>40550</v>
      </c>
      <c r="C141" s="4">
        <v>1</v>
      </c>
      <c r="D141" s="4">
        <v>1</v>
      </c>
      <c r="E141" s="4" t="b">
        <v>0</v>
      </c>
      <c r="F141" s="4">
        <v>5</v>
      </c>
      <c r="G141" s="4">
        <v>2</v>
      </c>
      <c r="H141" s="4">
        <v>0.2</v>
      </c>
      <c r="I141">
        <f>VLOOKUP(A141,[1]Datasheet_2!$A$2:$H$611,2,FALSE)</f>
        <v>139</v>
      </c>
      <c r="J141">
        <f>VLOOKUP(A141,[1]Datasheet_2!$A$2:$H$611,3,FALSE)</f>
        <v>0.19700000000000001</v>
      </c>
      <c r="K141" s="9">
        <f>VLOOKUP(A141,[1]Datasheet_2!$A$2:$H$611,4,FALSE)</f>
        <v>0.69</v>
      </c>
      <c r="L141" s="8">
        <f>VLOOKUP(A141,[1]Datasheet_2!$A$2:$H$611,5,FALSE)</f>
        <v>0.22389999999999999</v>
      </c>
      <c r="M141" s="8">
        <f>VLOOKUP(A141,[1]Datasheet_2!$A$2:$H$611,6,FALSE)</f>
        <v>2</v>
      </c>
      <c r="N141" s="8">
        <f>VLOOKUP(A141,[1]Datasheet_2!$A$2:$H$611,7,FALSE)</f>
        <v>5</v>
      </c>
      <c r="O141" s="9">
        <f>VLOOKUP(A141,[1]Datasheet_2!$A$2:$H$611,8,FALSE)</f>
        <v>7</v>
      </c>
    </row>
    <row r="142" spans="1:15" x14ac:dyDescent="0.3">
      <c r="A142" s="4">
        <v>141</v>
      </c>
      <c r="B142" s="5">
        <v>40550</v>
      </c>
      <c r="C142" s="4">
        <v>1</v>
      </c>
      <c r="D142" s="4">
        <v>2</v>
      </c>
      <c r="E142" s="4" t="b">
        <v>0</v>
      </c>
      <c r="F142" s="4">
        <v>5</v>
      </c>
      <c r="G142" s="4">
        <v>2</v>
      </c>
      <c r="H142" s="4">
        <v>0.2</v>
      </c>
      <c r="I142">
        <f>VLOOKUP(A142,[1]Datasheet_2!$A$2:$H$611,2,FALSE)</f>
        <v>140</v>
      </c>
      <c r="J142">
        <f>VLOOKUP(A142,[1]Datasheet_2!$A$2:$H$611,3,FALSE)</f>
        <v>0.19700000000000001</v>
      </c>
      <c r="K142" s="9">
        <f>VLOOKUP(A142,[1]Datasheet_2!$A$2:$H$611,4,FALSE)</f>
        <v>0.69</v>
      </c>
      <c r="L142" s="8">
        <f>VLOOKUP(A142,[1]Datasheet_2!$A$2:$H$611,5,FALSE)</f>
        <v>0.22389999999999999</v>
      </c>
      <c r="M142" s="8">
        <f>VLOOKUP(A142,[1]Datasheet_2!$A$2:$H$611,6,FALSE)</f>
        <v>0</v>
      </c>
      <c r="N142" s="8">
        <f>VLOOKUP(A142,[1]Datasheet_2!$A$2:$H$611,7,FALSE)</f>
        <v>1</v>
      </c>
      <c r="O142" s="9">
        <f>VLOOKUP(A142,[1]Datasheet_2!$A$2:$H$611,8,FALSE)</f>
        <v>1</v>
      </c>
    </row>
    <row r="143" spans="1:15" x14ac:dyDescent="0.3">
      <c r="A143" s="4">
        <v>142</v>
      </c>
      <c r="B143" s="5">
        <v>40550</v>
      </c>
      <c r="C143" s="4">
        <v>1</v>
      </c>
      <c r="D143" s="4">
        <v>4</v>
      </c>
      <c r="E143" s="4" t="b">
        <v>0</v>
      </c>
      <c r="F143" s="4">
        <v>5</v>
      </c>
      <c r="G143" s="4">
        <v>2</v>
      </c>
      <c r="H143" s="4">
        <v>0.2</v>
      </c>
      <c r="I143">
        <f>VLOOKUP(A143,[1]Datasheet_2!$A$2:$H$611,2,FALSE)</f>
        <v>141</v>
      </c>
      <c r="J143">
        <f>VLOOKUP(A143,[1]Datasheet_2!$A$2:$H$611,3,FALSE)</f>
        <v>0.21210000000000001</v>
      </c>
      <c r="K143" s="9">
        <f>VLOOKUP(A143,[1]Datasheet_2!$A$2:$H$611,4,FALSE)</f>
        <v>0.69</v>
      </c>
      <c r="L143" s="8">
        <f>VLOOKUP(A143,[1]Datasheet_2!$A$2:$H$611,5,FALSE)</f>
        <v>0.1343</v>
      </c>
      <c r="M143" s="8">
        <f>VLOOKUP(A143,[1]Datasheet_2!$A$2:$H$611,6,FALSE)</f>
        <v>0</v>
      </c>
      <c r="N143" s="8">
        <f>VLOOKUP(A143,[1]Datasheet_2!$A$2:$H$611,7,FALSE)</f>
        <v>1</v>
      </c>
      <c r="O143" s="9">
        <f>VLOOKUP(A143,[1]Datasheet_2!$A$2:$H$611,8,FALSE)</f>
        <v>1</v>
      </c>
    </row>
    <row r="144" spans="1:15" x14ac:dyDescent="0.3">
      <c r="A144" s="4">
        <v>143</v>
      </c>
      <c r="B144" s="5">
        <v>40550</v>
      </c>
      <c r="C144" s="4">
        <v>1</v>
      </c>
      <c r="D144" s="4">
        <v>5</v>
      </c>
      <c r="E144" s="4" t="b">
        <v>0</v>
      </c>
      <c r="F144" s="4">
        <v>5</v>
      </c>
      <c r="G144" s="4">
        <v>3</v>
      </c>
      <c r="H144" s="4">
        <v>0.22</v>
      </c>
      <c r="I144">
        <f>VLOOKUP(A144,[1]Datasheet_2!$A$2:$H$611,2,FALSE)</f>
        <v>142</v>
      </c>
      <c r="J144">
        <f>VLOOKUP(A144,[1]Datasheet_2!$A$2:$H$611,3,FALSE)</f>
        <v>0.2727</v>
      </c>
      <c r="K144" s="9">
        <f>VLOOKUP(A144,[1]Datasheet_2!$A$2:$H$611,4,FALSE)</f>
        <v>0.55000000000000004</v>
      </c>
      <c r="L144" s="8">
        <f>VLOOKUP(A144,[1]Datasheet_2!$A$2:$H$611,5,FALSE)</f>
        <v>0</v>
      </c>
      <c r="M144" s="8">
        <f>VLOOKUP(A144,[1]Datasheet_2!$A$2:$H$611,6,FALSE)</f>
        <v>0</v>
      </c>
      <c r="N144" s="8">
        <f>VLOOKUP(A144,[1]Datasheet_2!$A$2:$H$611,7,FALSE)</f>
        <v>5</v>
      </c>
      <c r="O144" s="9">
        <f>VLOOKUP(A144,[1]Datasheet_2!$A$2:$H$611,8,FALSE)</f>
        <v>5</v>
      </c>
    </row>
    <row r="145" spans="1:15" x14ac:dyDescent="0.3">
      <c r="A145" s="4">
        <v>144</v>
      </c>
      <c r="B145" s="5">
        <v>40550</v>
      </c>
      <c r="C145" s="4">
        <v>1</v>
      </c>
      <c r="D145" s="4">
        <v>6</v>
      </c>
      <c r="E145" s="4" t="b">
        <v>0</v>
      </c>
      <c r="F145" s="4">
        <v>5</v>
      </c>
      <c r="G145" s="4">
        <v>2</v>
      </c>
      <c r="H145" s="4">
        <v>0.2</v>
      </c>
      <c r="I145">
        <f>VLOOKUP(A145,[1]Datasheet_2!$A$2:$H$611,2,FALSE)</f>
        <v>143</v>
      </c>
      <c r="J145">
        <f>VLOOKUP(A145,[1]Datasheet_2!$A$2:$H$611,3,FALSE)</f>
        <v>0.2576</v>
      </c>
      <c r="K145" s="9">
        <f>VLOOKUP(A145,[1]Datasheet_2!$A$2:$H$611,4,FALSE)</f>
        <v>0.69</v>
      </c>
      <c r="L145" s="8">
        <f>VLOOKUP(A145,[1]Datasheet_2!$A$2:$H$611,5,FALSE)</f>
        <v>0</v>
      </c>
      <c r="M145" s="8">
        <f>VLOOKUP(A145,[1]Datasheet_2!$A$2:$H$611,6,FALSE)</f>
        <v>8</v>
      </c>
      <c r="N145" s="8">
        <f>VLOOKUP(A145,[1]Datasheet_2!$A$2:$H$611,7,FALSE)</f>
        <v>26</v>
      </c>
      <c r="O145" s="9">
        <f>VLOOKUP(A145,[1]Datasheet_2!$A$2:$H$611,8,FALSE)</f>
        <v>34</v>
      </c>
    </row>
    <row r="146" spans="1:15" x14ac:dyDescent="0.3">
      <c r="A146" s="4">
        <v>145</v>
      </c>
      <c r="B146" s="5">
        <v>40550</v>
      </c>
      <c r="C146" s="4">
        <v>1</v>
      </c>
      <c r="D146" s="4">
        <v>7</v>
      </c>
      <c r="E146" s="4" t="b">
        <v>0</v>
      </c>
      <c r="F146" s="4">
        <v>5</v>
      </c>
      <c r="G146" s="4">
        <v>1</v>
      </c>
      <c r="H146" s="4">
        <v>0.2</v>
      </c>
      <c r="I146">
        <f>VLOOKUP(A146,[1]Datasheet_2!$A$2:$H$611,2,FALSE)</f>
        <v>144</v>
      </c>
      <c r="J146">
        <f>VLOOKUP(A146,[1]Datasheet_2!$A$2:$H$611,3,FALSE)</f>
        <v>0.21210000000000001</v>
      </c>
      <c r="K146" s="9">
        <f>VLOOKUP(A146,[1]Datasheet_2!$A$2:$H$611,4,FALSE)</f>
        <v>0.69</v>
      </c>
      <c r="L146" s="8">
        <f>VLOOKUP(A146,[1]Datasheet_2!$A$2:$H$611,5,FALSE)</f>
        <v>0.1343</v>
      </c>
      <c r="M146" s="8">
        <f>VLOOKUP(A146,[1]Datasheet_2!$A$2:$H$611,6,FALSE)</f>
        <v>8</v>
      </c>
      <c r="N146" s="8">
        <f>VLOOKUP(A146,[1]Datasheet_2!$A$2:$H$611,7,FALSE)</f>
        <v>76</v>
      </c>
      <c r="O146" s="9">
        <f>VLOOKUP(A146,[1]Datasheet_2!$A$2:$H$611,8,FALSE)</f>
        <v>84</v>
      </c>
    </row>
    <row r="147" spans="1:15" x14ac:dyDescent="0.3">
      <c r="A147" s="4">
        <v>146</v>
      </c>
      <c r="B147" s="5">
        <v>40550</v>
      </c>
      <c r="C147" s="4">
        <v>1</v>
      </c>
      <c r="D147" s="4">
        <v>8</v>
      </c>
      <c r="E147" s="4" t="b">
        <v>0</v>
      </c>
      <c r="F147" s="4">
        <v>5</v>
      </c>
      <c r="G147" s="4">
        <v>1</v>
      </c>
      <c r="H147" s="4">
        <v>0.2</v>
      </c>
      <c r="I147">
        <f>VLOOKUP(A147,[1]Datasheet_2!$A$2:$H$611,2,FALSE)</f>
        <v>145</v>
      </c>
      <c r="J147">
        <f>VLOOKUP(A147,[1]Datasheet_2!$A$2:$H$611,3,FALSE)</f>
        <v>0.19700000000000001</v>
      </c>
      <c r="K147" s="9">
        <f>VLOOKUP(A147,[1]Datasheet_2!$A$2:$H$611,4,FALSE)</f>
        <v>0.51</v>
      </c>
      <c r="L147" s="8">
        <f>VLOOKUP(A147,[1]Datasheet_2!$A$2:$H$611,5,FALSE)</f>
        <v>0.25369999999999998</v>
      </c>
      <c r="M147" s="8">
        <f>VLOOKUP(A147,[1]Datasheet_2!$A$2:$H$611,6,FALSE)</f>
        <v>20</v>
      </c>
      <c r="N147" s="8">
        <f>VLOOKUP(A147,[1]Datasheet_2!$A$2:$H$611,7,FALSE)</f>
        <v>190</v>
      </c>
      <c r="O147" s="9">
        <f>VLOOKUP(A147,[1]Datasheet_2!$A$2:$H$611,8,FALSE)</f>
        <v>210</v>
      </c>
    </row>
    <row r="148" spans="1:15" x14ac:dyDescent="0.3">
      <c r="A148" s="4">
        <v>147</v>
      </c>
      <c r="B148" s="5">
        <v>40550</v>
      </c>
      <c r="C148" s="4">
        <v>1</v>
      </c>
      <c r="D148" s="4">
        <v>9</v>
      </c>
      <c r="E148" s="4" t="b">
        <v>0</v>
      </c>
      <c r="F148" s="4">
        <v>5</v>
      </c>
      <c r="G148" s="4">
        <v>1</v>
      </c>
      <c r="H148" s="4">
        <v>0.2</v>
      </c>
      <c r="I148">
        <f>VLOOKUP(A148,[1]Datasheet_2!$A$2:$H$611,2,FALSE)</f>
        <v>146</v>
      </c>
      <c r="J148">
        <f>VLOOKUP(A148,[1]Datasheet_2!$A$2:$H$611,3,FALSE)</f>
        <v>0.18179999999999999</v>
      </c>
      <c r="K148" s="9">
        <f>VLOOKUP(A148,[1]Datasheet_2!$A$2:$H$611,4,FALSE)</f>
        <v>0.47</v>
      </c>
      <c r="L148" s="8">
        <f>VLOOKUP(A148,[1]Datasheet_2!$A$2:$H$611,5,FALSE)</f>
        <v>0.29849999999999999</v>
      </c>
      <c r="M148" s="8">
        <f>VLOOKUP(A148,[1]Datasheet_2!$A$2:$H$611,6,FALSE)</f>
        <v>9</v>
      </c>
      <c r="N148" s="8">
        <f>VLOOKUP(A148,[1]Datasheet_2!$A$2:$H$611,7,FALSE)</f>
        <v>125</v>
      </c>
      <c r="O148" s="9">
        <f>VLOOKUP(A148,[1]Datasheet_2!$A$2:$H$611,8,FALSE)</f>
        <v>134</v>
      </c>
    </row>
    <row r="149" spans="1:15" x14ac:dyDescent="0.3">
      <c r="A149" s="4">
        <v>148</v>
      </c>
      <c r="B149" s="5">
        <v>40550</v>
      </c>
      <c r="C149" s="4">
        <v>1</v>
      </c>
      <c r="D149" s="4">
        <v>10</v>
      </c>
      <c r="E149" s="4" t="b">
        <v>0</v>
      </c>
      <c r="F149" s="4">
        <v>5</v>
      </c>
      <c r="G149" s="4">
        <v>1</v>
      </c>
      <c r="H149" s="4">
        <v>0.22</v>
      </c>
      <c r="I149">
        <f>VLOOKUP(A149,[1]Datasheet_2!$A$2:$H$611,2,FALSE)</f>
        <v>147</v>
      </c>
      <c r="J149">
        <f>VLOOKUP(A149,[1]Datasheet_2!$A$2:$H$611,3,FALSE)</f>
        <v>0.19700000000000001</v>
      </c>
      <c r="K149" s="9">
        <f>VLOOKUP(A149,[1]Datasheet_2!$A$2:$H$611,4,FALSE)</f>
        <v>0.37</v>
      </c>
      <c r="L149" s="8">
        <f>VLOOKUP(A149,[1]Datasheet_2!$A$2:$H$611,5,FALSE)</f>
        <v>0.32840000000000003</v>
      </c>
      <c r="M149" s="8">
        <f>VLOOKUP(A149,[1]Datasheet_2!$A$2:$H$611,6,FALSE)</f>
        <v>16</v>
      </c>
      <c r="N149" s="8">
        <f>VLOOKUP(A149,[1]Datasheet_2!$A$2:$H$611,7,FALSE)</f>
        <v>47</v>
      </c>
      <c r="O149" s="9">
        <f>VLOOKUP(A149,[1]Datasheet_2!$A$2:$H$611,8,FALSE)</f>
        <v>63</v>
      </c>
    </row>
    <row r="150" spans="1:15" x14ac:dyDescent="0.3">
      <c r="A150" s="4">
        <v>149</v>
      </c>
      <c r="B150" s="5">
        <v>40550</v>
      </c>
      <c r="C150" s="4">
        <v>1</v>
      </c>
      <c r="D150" s="4">
        <v>11</v>
      </c>
      <c r="E150" s="4" t="b">
        <v>0</v>
      </c>
      <c r="F150" s="4">
        <v>5</v>
      </c>
      <c r="G150" s="4">
        <v>2</v>
      </c>
      <c r="H150" s="4">
        <v>0.2</v>
      </c>
      <c r="I150">
        <f>VLOOKUP(A150,[1]Datasheet_2!$A$2:$H$611,2,FALSE)</f>
        <v>148</v>
      </c>
      <c r="J150">
        <f>VLOOKUP(A150,[1]Datasheet_2!$A$2:$H$611,3,FALSE)</f>
        <v>0.19700000000000001</v>
      </c>
      <c r="K150" s="9">
        <f>VLOOKUP(A150,[1]Datasheet_2!$A$2:$H$611,4,FALSE)</f>
        <v>0.4</v>
      </c>
      <c r="L150" s="8">
        <f>VLOOKUP(A150,[1]Datasheet_2!$A$2:$H$611,5,FALSE)</f>
        <v>0.22389999999999999</v>
      </c>
      <c r="M150" s="8">
        <f>VLOOKUP(A150,[1]Datasheet_2!$A$2:$H$611,6,FALSE)</f>
        <v>19</v>
      </c>
      <c r="N150" s="8">
        <f>VLOOKUP(A150,[1]Datasheet_2!$A$2:$H$611,7,FALSE)</f>
        <v>48</v>
      </c>
      <c r="O150" s="9">
        <f>VLOOKUP(A150,[1]Datasheet_2!$A$2:$H$611,8,FALSE)</f>
        <v>67</v>
      </c>
    </row>
    <row r="151" spans="1:15" x14ac:dyDescent="0.3">
      <c r="A151" s="4">
        <v>150</v>
      </c>
      <c r="B151" s="5">
        <v>40550</v>
      </c>
      <c r="C151" s="4">
        <v>1</v>
      </c>
      <c r="D151" s="4">
        <v>12</v>
      </c>
      <c r="E151" s="4" t="b">
        <v>0</v>
      </c>
      <c r="F151" s="4">
        <v>5</v>
      </c>
      <c r="G151" s="4">
        <v>2</v>
      </c>
      <c r="H151" s="4">
        <v>0.2</v>
      </c>
      <c r="I151">
        <f>VLOOKUP(A151,[1]Datasheet_2!$A$2:$H$611,2,FALSE)</f>
        <v>149</v>
      </c>
      <c r="J151">
        <f>VLOOKUP(A151,[1]Datasheet_2!$A$2:$H$611,3,FALSE)</f>
        <v>0.19700000000000001</v>
      </c>
      <c r="K151" s="9">
        <f>VLOOKUP(A151,[1]Datasheet_2!$A$2:$H$611,4,FALSE)</f>
        <v>0.37</v>
      </c>
      <c r="L151" s="8">
        <f>VLOOKUP(A151,[1]Datasheet_2!$A$2:$H$611,5,FALSE)</f>
        <v>0.25369999999999998</v>
      </c>
      <c r="M151" s="8">
        <f>VLOOKUP(A151,[1]Datasheet_2!$A$2:$H$611,6,FALSE)</f>
        <v>9</v>
      </c>
      <c r="N151" s="8">
        <f>VLOOKUP(A151,[1]Datasheet_2!$A$2:$H$611,7,FALSE)</f>
        <v>50</v>
      </c>
      <c r="O151" s="9">
        <f>VLOOKUP(A151,[1]Datasheet_2!$A$2:$H$611,8,FALSE)</f>
        <v>59</v>
      </c>
    </row>
    <row r="152" spans="1:15" x14ac:dyDescent="0.3">
      <c r="A152" s="4">
        <v>151</v>
      </c>
      <c r="B152" s="5">
        <v>40550</v>
      </c>
      <c r="C152" s="4">
        <v>1</v>
      </c>
      <c r="D152" s="4">
        <v>13</v>
      </c>
      <c r="E152" s="4" t="b">
        <v>0</v>
      </c>
      <c r="F152" s="4">
        <v>5</v>
      </c>
      <c r="G152" s="4">
        <v>2</v>
      </c>
      <c r="H152" s="4">
        <v>0.2</v>
      </c>
      <c r="I152">
        <f>VLOOKUP(A152,[1]Datasheet_2!$A$2:$H$611,2,FALSE)</f>
        <v>150</v>
      </c>
      <c r="J152">
        <f>VLOOKUP(A152,[1]Datasheet_2!$A$2:$H$611,3,FALSE)</f>
        <v>0.18179999999999999</v>
      </c>
      <c r="K152" s="9">
        <f>VLOOKUP(A152,[1]Datasheet_2!$A$2:$H$611,4,FALSE)</f>
        <v>0.37</v>
      </c>
      <c r="L152" s="8">
        <f>VLOOKUP(A152,[1]Datasheet_2!$A$2:$H$611,5,FALSE)</f>
        <v>0.28360000000000002</v>
      </c>
      <c r="M152" s="8">
        <f>VLOOKUP(A152,[1]Datasheet_2!$A$2:$H$611,6,FALSE)</f>
        <v>9</v>
      </c>
      <c r="N152" s="8">
        <f>VLOOKUP(A152,[1]Datasheet_2!$A$2:$H$611,7,FALSE)</f>
        <v>64</v>
      </c>
      <c r="O152" s="9">
        <f>VLOOKUP(A152,[1]Datasheet_2!$A$2:$H$611,8,FALSE)</f>
        <v>73</v>
      </c>
    </row>
    <row r="153" spans="1:15" x14ac:dyDescent="0.3">
      <c r="A153" s="4">
        <v>152</v>
      </c>
      <c r="B153" s="5">
        <v>40550</v>
      </c>
      <c r="C153" s="4">
        <v>1</v>
      </c>
      <c r="D153" s="4">
        <v>14</v>
      </c>
      <c r="E153" s="4" t="b">
        <v>0</v>
      </c>
      <c r="F153" s="4">
        <v>5</v>
      </c>
      <c r="G153" s="4">
        <v>2</v>
      </c>
      <c r="H153" s="4">
        <v>0.2</v>
      </c>
      <c r="I153">
        <f>VLOOKUP(A153,[1]Datasheet_2!$A$2:$H$611,2,FALSE)</f>
        <v>151</v>
      </c>
      <c r="J153">
        <f>VLOOKUP(A153,[1]Datasheet_2!$A$2:$H$611,3,FALSE)</f>
        <v>0.19700000000000001</v>
      </c>
      <c r="K153" s="9">
        <f>VLOOKUP(A153,[1]Datasheet_2!$A$2:$H$611,4,FALSE)</f>
        <v>0.4</v>
      </c>
      <c r="L153" s="8">
        <f>VLOOKUP(A153,[1]Datasheet_2!$A$2:$H$611,5,FALSE)</f>
        <v>0.25369999999999998</v>
      </c>
      <c r="M153" s="8">
        <f>VLOOKUP(A153,[1]Datasheet_2!$A$2:$H$611,6,FALSE)</f>
        <v>7</v>
      </c>
      <c r="N153" s="8">
        <f>VLOOKUP(A153,[1]Datasheet_2!$A$2:$H$611,7,FALSE)</f>
        <v>43</v>
      </c>
      <c r="O153" s="9">
        <f>VLOOKUP(A153,[1]Datasheet_2!$A$2:$H$611,8,FALSE)</f>
        <v>50</v>
      </c>
    </row>
    <row r="154" spans="1:15" x14ac:dyDescent="0.3">
      <c r="A154" s="4">
        <v>153</v>
      </c>
      <c r="B154" s="5">
        <v>40550</v>
      </c>
      <c r="C154" s="4">
        <v>1</v>
      </c>
      <c r="D154" s="4">
        <v>15</v>
      </c>
      <c r="E154" s="4" t="b">
        <v>0</v>
      </c>
      <c r="F154" s="4">
        <v>5</v>
      </c>
      <c r="G154" s="4">
        <v>2</v>
      </c>
      <c r="H154" s="4">
        <v>0.2</v>
      </c>
      <c r="I154">
        <f>VLOOKUP(A154,[1]Datasheet_2!$A$2:$H$611,2,FALSE)</f>
        <v>152</v>
      </c>
      <c r="J154">
        <f>VLOOKUP(A154,[1]Datasheet_2!$A$2:$H$611,3,FALSE)</f>
        <v>0.21210000000000001</v>
      </c>
      <c r="K154" s="9">
        <f>VLOOKUP(A154,[1]Datasheet_2!$A$2:$H$611,4,FALSE)</f>
        <v>0.37</v>
      </c>
      <c r="L154" s="8">
        <f>VLOOKUP(A154,[1]Datasheet_2!$A$2:$H$611,5,FALSE)</f>
        <v>0.16420000000000001</v>
      </c>
      <c r="M154" s="8">
        <f>VLOOKUP(A154,[1]Datasheet_2!$A$2:$H$611,6,FALSE)</f>
        <v>9</v>
      </c>
      <c r="N154" s="8">
        <f>VLOOKUP(A154,[1]Datasheet_2!$A$2:$H$611,7,FALSE)</f>
        <v>63</v>
      </c>
      <c r="O154" s="9">
        <f>VLOOKUP(A154,[1]Datasheet_2!$A$2:$H$611,8,FALSE)</f>
        <v>72</v>
      </c>
    </row>
    <row r="155" spans="1:15" x14ac:dyDescent="0.3">
      <c r="A155" s="4">
        <v>154</v>
      </c>
      <c r="B155" s="5">
        <v>40550</v>
      </c>
      <c r="C155" s="4">
        <v>1</v>
      </c>
      <c r="D155" s="4">
        <v>16</v>
      </c>
      <c r="E155" s="4" t="b">
        <v>0</v>
      </c>
      <c r="F155" s="4">
        <v>5</v>
      </c>
      <c r="G155" s="4">
        <v>2</v>
      </c>
      <c r="H155" s="4">
        <v>0.2</v>
      </c>
      <c r="I155">
        <f>VLOOKUP(A155,[1]Datasheet_2!$A$2:$H$611,2,FALSE)</f>
        <v>153</v>
      </c>
      <c r="J155">
        <f>VLOOKUP(A155,[1]Datasheet_2!$A$2:$H$611,3,FALSE)</f>
        <v>0.21210000000000001</v>
      </c>
      <c r="K155" s="9">
        <f>VLOOKUP(A155,[1]Datasheet_2!$A$2:$H$611,4,FALSE)</f>
        <v>0.37</v>
      </c>
      <c r="L155" s="8">
        <f>VLOOKUP(A155,[1]Datasheet_2!$A$2:$H$611,5,FALSE)</f>
        <v>0.16420000000000001</v>
      </c>
      <c r="M155" s="8">
        <f>VLOOKUP(A155,[1]Datasheet_2!$A$2:$H$611,6,FALSE)</f>
        <v>5</v>
      </c>
      <c r="N155" s="8">
        <f>VLOOKUP(A155,[1]Datasheet_2!$A$2:$H$611,7,FALSE)</f>
        <v>82</v>
      </c>
      <c r="O155" s="9">
        <f>VLOOKUP(A155,[1]Datasheet_2!$A$2:$H$611,8,FALSE)</f>
        <v>87</v>
      </c>
    </row>
    <row r="156" spans="1:15" x14ac:dyDescent="0.3">
      <c r="A156" s="4">
        <v>155</v>
      </c>
      <c r="B156" s="5">
        <v>40550</v>
      </c>
      <c r="C156" s="4">
        <v>1</v>
      </c>
      <c r="D156" s="4">
        <v>17</v>
      </c>
      <c r="E156" s="4" t="b">
        <v>0</v>
      </c>
      <c r="F156" s="4">
        <v>5</v>
      </c>
      <c r="G156" s="4">
        <v>2</v>
      </c>
      <c r="H156" s="4">
        <v>0.2</v>
      </c>
      <c r="I156">
        <f>VLOOKUP(A156,[1]Datasheet_2!$A$2:$H$611,2,FALSE)</f>
        <v>154</v>
      </c>
      <c r="J156">
        <f>VLOOKUP(A156,[1]Datasheet_2!$A$2:$H$611,3,FALSE)</f>
        <v>0.2576</v>
      </c>
      <c r="K156" s="9">
        <f>VLOOKUP(A156,[1]Datasheet_2!$A$2:$H$611,4,FALSE)</f>
        <v>0.37</v>
      </c>
      <c r="L156" s="8">
        <f>VLOOKUP(A156,[1]Datasheet_2!$A$2:$H$611,5,FALSE)</f>
        <v>0</v>
      </c>
      <c r="M156" s="8">
        <f>VLOOKUP(A156,[1]Datasheet_2!$A$2:$H$611,6,FALSE)</f>
        <v>9</v>
      </c>
      <c r="N156" s="8">
        <f>VLOOKUP(A156,[1]Datasheet_2!$A$2:$H$611,7,FALSE)</f>
        <v>178</v>
      </c>
      <c r="O156" s="9">
        <f>VLOOKUP(A156,[1]Datasheet_2!$A$2:$H$611,8,FALSE)</f>
        <v>187</v>
      </c>
    </row>
    <row r="157" spans="1:15" x14ac:dyDescent="0.3">
      <c r="A157" s="4">
        <v>156</v>
      </c>
      <c r="B157" s="5">
        <v>40550</v>
      </c>
      <c r="C157" s="4">
        <v>1</v>
      </c>
      <c r="D157" s="4">
        <v>18</v>
      </c>
      <c r="E157" s="4" t="b">
        <v>0</v>
      </c>
      <c r="F157" s="4">
        <v>5</v>
      </c>
      <c r="G157" s="4">
        <v>1</v>
      </c>
      <c r="H157" s="4">
        <v>0.2</v>
      </c>
      <c r="I157">
        <f>VLOOKUP(A157,[1]Datasheet_2!$A$2:$H$611,2,FALSE)</f>
        <v>155</v>
      </c>
      <c r="J157">
        <f>VLOOKUP(A157,[1]Datasheet_2!$A$2:$H$611,3,FALSE)</f>
        <v>0.2273</v>
      </c>
      <c r="K157" s="9">
        <f>VLOOKUP(A157,[1]Datasheet_2!$A$2:$H$611,4,FALSE)</f>
        <v>0.4</v>
      </c>
      <c r="L157" s="8">
        <f>VLOOKUP(A157,[1]Datasheet_2!$A$2:$H$611,5,FALSE)</f>
        <v>8.9599999999999999E-2</v>
      </c>
      <c r="M157" s="8">
        <f>VLOOKUP(A157,[1]Datasheet_2!$A$2:$H$611,6,FALSE)</f>
        <v>7</v>
      </c>
      <c r="N157" s="8">
        <f>VLOOKUP(A157,[1]Datasheet_2!$A$2:$H$611,7,FALSE)</f>
        <v>116</v>
      </c>
      <c r="O157" s="9">
        <f>VLOOKUP(A157,[1]Datasheet_2!$A$2:$H$611,8,FALSE)</f>
        <v>123</v>
      </c>
    </row>
    <row r="158" spans="1:15" x14ac:dyDescent="0.3">
      <c r="A158" s="4">
        <v>157</v>
      </c>
      <c r="B158" s="5">
        <v>40550</v>
      </c>
      <c r="C158" s="4">
        <v>1</v>
      </c>
      <c r="D158" s="4">
        <v>19</v>
      </c>
      <c r="E158" s="4" t="b">
        <v>0</v>
      </c>
      <c r="F158" s="4">
        <v>5</v>
      </c>
      <c r="G158" s="4">
        <v>1</v>
      </c>
      <c r="H158" s="4">
        <v>0.16</v>
      </c>
      <c r="I158">
        <f>VLOOKUP(A158,[1]Datasheet_2!$A$2:$H$611,2,FALSE)</f>
        <v>156</v>
      </c>
      <c r="J158">
        <f>VLOOKUP(A158,[1]Datasheet_2!$A$2:$H$611,3,FALSE)</f>
        <v>0.19700000000000001</v>
      </c>
      <c r="K158" s="9">
        <f>VLOOKUP(A158,[1]Datasheet_2!$A$2:$H$611,4,FALSE)</f>
        <v>0.55000000000000004</v>
      </c>
      <c r="L158" s="8">
        <f>VLOOKUP(A158,[1]Datasheet_2!$A$2:$H$611,5,FALSE)</f>
        <v>8.9599999999999999E-2</v>
      </c>
      <c r="M158" s="8">
        <f>VLOOKUP(A158,[1]Datasheet_2!$A$2:$H$611,6,FALSE)</f>
        <v>3</v>
      </c>
      <c r="N158" s="8">
        <f>VLOOKUP(A158,[1]Datasheet_2!$A$2:$H$611,7,FALSE)</f>
        <v>92</v>
      </c>
      <c r="O158" s="9">
        <f>VLOOKUP(A158,[1]Datasheet_2!$A$2:$H$611,8,FALSE)</f>
        <v>95</v>
      </c>
    </row>
    <row r="159" spans="1:15" x14ac:dyDescent="0.3">
      <c r="A159" s="4">
        <v>158</v>
      </c>
      <c r="B159" s="5">
        <v>40550</v>
      </c>
      <c r="C159" s="4">
        <v>1</v>
      </c>
      <c r="D159" s="4">
        <v>20</v>
      </c>
      <c r="E159" s="4" t="b">
        <v>0</v>
      </c>
      <c r="F159" s="4">
        <v>5</v>
      </c>
      <c r="G159" s="4">
        <v>1</v>
      </c>
      <c r="H159" s="4">
        <v>0.18</v>
      </c>
      <c r="I159">
        <f>VLOOKUP(A159,[1]Datasheet_2!$A$2:$H$611,2,FALSE)</f>
        <v>157</v>
      </c>
      <c r="J159">
        <f>VLOOKUP(A159,[1]Datasheet_2!$A$2:$H$611,3,FALSE)</f>
        <v>0.21210000000000001</v>
      </c>
      <c r="K159" s="9">
        <f>VLOOKUP(A159,[1]Datasheet_2!$A$2:$H$611,4,FALSE)</f>
        <v>0.47</v>
      </c>
      <c r="L159" s="8">
        <f>VLOOKUP(A159,[1]Datasheet_2!$A$2:$H$611,5,FALSE)</f>
        <v>0.1045</v>
      </c>
      <c r="M159" s="8">
        <f>VLOOKUP(A159,[1]Datasheet_2!$A$2:$H$611,6,FALSE)</f>
        <v>1</v>
      </c>
      <c r="N159" s="8">
        <f>VLOOKUP(A159,[1]Datasheet_2!$A$2:$H$611,7,FALSE)</f>
        <v>50</v>
      </c>
      <c r="O159" s="9">
        <f>VLOOKUP(A159,[1]Datasheet_2!$A$2:$H$611,8,FALSE)</f>
        <v>51</v>
      </c>
    </row>
    <row r="160" spans="1:15" x14ac:dyDescent="0.3">
      <c r="A160" s="4">
        <v>159</v>
      </c>
      <c r="B160" s="5">
        <v>40550</v>
      </c>
      <c r="C160" s="4">
        <v>1</v>
      </c>
      <c r="D160" s="4">
        <v>21</v>
      </c>
      <c r="E160" s="4" t="b">
        <v>0</v>
      </c>
      <c r="F160" s="4">
        <v>5</v>
      </c>
      <c r="G160" s="4">
        <v>1</v>
      </c>
      <c r="H160" s="4">
        <v>0.18</v>
      </c>
      <c r="I160">
        <f>VLOOKUP(A160,[1]Datasheet_2!$A$2:$H$611,2,FALSE)</f>
        <v>158</v>
      </c>
      <c r="J160">
        <f>VLOOKUP(A160,[1]Datasheet_2!$A$2:$H$611,3,FALSE)</f>
        <v>0.19700000000000001</v>
      </c>
      <c r="K160" s="9">
        <f>VLOOKUP(A160,[1]Datasheet_2!$A$2:$H$611,4,FALSE)</f>
        <v>0.47</v>
      </c>
      <c r="L160" s="8">
        <f>VLOOKUP(A160,[1]Datasheet_2!$A$2:$H$611,5,FALSE)</f>
        <v>0.1343</v>
      </c>
      <c r="M160" s="8">
        <f>VLOOKUP(A160,[1]Datasheet_2!$A$2:$H$611,6,FALSE)</f>
        <v>0</v>
      </c>
      <c r="N160" s="8">
        <f>VLOOKUP(A160,[1]Datasheet_2!$A$2:$H$611,7,FALSE)</f>
        <v>39</v>
      </c>
      <c r="O160" s="9">
        <f>VLOOKUP(A160,[1]Datasheet_2!$A$2:$H$611,8,FALSE)</f>
        <v>39</v>
      </c>
    </row>
    <row r="161" spans="1:15" x14ac:dyDescent="0.3">
      <c r="A161" s="4">
        <v>160</v>
      </c>
      <c r="B161" s="5">
        <v>40550</v>
      </c>
      <c r="C161" s="4">
        <v>1</v>
      </c>
      <c r="D161" s="4">
        <v>22</v>
      </c>
      <c r="E161" s="4" t="b">
        <v>0</v>
      </c>
      <c r="F161" s="4">
        <v>5</v>
      </c>
      <c r="G161" s="4">
        <v>2</v>
      </c>
      <c r="H161" s="4">
        <v>0.18</v>
      </c>
      <c r="I161">
        <f>VLOOKUP(A161,[1]Datasheet_2!$A$2:$H$611,2,FALSE)</f>
        <v>159</v>
      </c>
      <c r="J161">
        <f>VLOOKUP(A161,[1]Datasheet_2!$A$2:$H$611,3,FALSE)</f>
        <v>0.19700000000000001</v>
      </c>
      <c r="K161" s="9">
        <f>VLOOKUP(A161,[1]Datasheet_2!$A$2:$H$611,4,FALSE)</f>
        <v>0.43</v>
      </c>
      <c r="L161" s="8">
        <f>VLOOKUP(A161,[1]Datasheet_2!$A$2:$H$611,5,FALSE)</f>
        <v>0.16420000000000001</v>
      </c>
      <c r="M161" s="8">
        <f>VLOOKUP(A161,[1]Datasheet_2!$A$2:$H$611,6,FALSE)</f>
        <v>2</v>
      </c>
      <c r="N161" s="8">
        <f>VLOOKUP(A161,[1]Datasheet_2!$A$2:$H$611,7,FALSE)</f>
        <v>34</v>
      </c>
      <c r="O161" s="9">
        <f>VLOOKUP(A161,[1]Datasheet_2!$A$2:$H$611,8,FALSE)</f>
        <v>36</v>
      </c>
    </row>
    <row r="162" spans="1:15" x14ac:dyDescent="0.3">
      <c r="A162" s="4">
        <v>161</v>
      </c>
      <c r="B162" s="5">
        <v>40550</v>
      </c>
      <c r="C162" s="4">
        <v>1</v>
      </c>
      <c r="D162" s="4">
        <v>23</v>
      </c>
      <c r="E162" s="4" t="b">
        <v>0</v>
      </c>
      <c r="F162" s="4">
        <v>5</v>
      </c>
      <c r="G162" s="4">
        <v>2</v>
      </c>
      <c r="H162" s="4">
        <v>0.18</v>
      </c>
      <c r="I162">
        <f>VLOOKUP(A162,[1]Datasheet_2!$A$2:$H$611,2,FALSE)</f>
        <v>160</v>
      </c>
      <c r="J162">
        <f>VLOOKUP(A162,[1]Datasheet_2!$A$2:$H$611,3,FALSE)</f>
        <v>0.19700000000000001</v>
      </c>
      <c r="K162" s="9">
        <f>VLOOKUP(A162,[1]Datasheet_2!$A$2:$H$611,4,FALSE)</f>
        <v>0.51</v>
      </c>
      <c r="L162" s="8">
        <f>VLOOKUP(A162,[1]Datasheet_2!$A$2:$H$611,5,FALSE)</f>
        <v>0.16420000000000001</v>
      </c>
      <c r="M162" s="8">
        <f>VLOOKUP(A162,[1]Datasheet_2!$A$2:$H$611,6,FALSE)</f>
        <v>1</v>
      </c>
      <c r="N162" s="8">
        <f>VLOOKUP(A162,[1]Datasheet_2!$A$2:$H$611,7,FALSE)</f>
        <v>14</v>
      </c>
      <c r="O162" s="9">
        <f>VLOOKUP(A162,[1]Datasheet_2!$A$2:$H$611,8,FALSE)</f>
        <v>15</v>
      </c>
    </row>
    <row r="163" spans="1:15" x14ac:dyDescent="0.3">
      <c r="A163" s="4">
        <v>162</v>
      </c>
      <c r="B163" s="5">
        <v>40551</v>
      </c>
      <c r="C163" s="4">
        <v>1</v>
      </c>
      <c r="D163" s="4">
        <v>0</v>
      </c>
      <c r="E163" s="4" t="b">
        <v>0</v>
      </c>
      <c r="F163" s="4">
        <v>6</v>
      </c>
      <c r="G163" s="4">
        <v>2</v>
      </c>
      <c r="H163" s="4">
        <v>0.18</v>
      </c>
      <c r="I163">
        <f>VLOOKUP(A163,[1]Datasheet_2!$A$2:$H$611,2,FALSE)</f>
        <v>161</v>
      </c>
      <c r="J163">
        <f>VLOOKUP(A163,[1]Datasheet_2!$A$2:$H$611,3,FALSE)</f>
        <v>0.19700000000000001</v>
      </c>
      <c r="K163" s="9">
        <f>VLOOKUP(A163,[1]Datasheet_2!$A$2:$H$611,4,FALSE)</f>
        <v>0.51</v>
      </c>
      <c r="L163" s="8">
        <f>VLOOKUP(A163,[1]Datasheet_2!$A$2:$H$611,5,FALSE)</f>
        <v>0.16420000000000001</v>
      </c>
      <c r="M163" s="8">
        <f>VLOOKUP(A163,[1]Datasheet_2!$A$2:$H$611,6,FALSE)</f>
        <v>1</v>
      </c>
      <c r="N163" s="8">
        <f>VLOOKUP(A163,[1]Datasheet_2!$A$2:$H$611,7,FALSE)</f>
        <v>24</v>
      </c>
      <c r="O163" s="9">
        <f>VLOOKUP(A163,[1]Datasheet_2!$A$2:$H$611,8,FALSE)</f>
        <v>25</v>
      </c>
    </row>
    <row r="164" spans="1:15" x14ac:dyDescent="0.3">
      <c r="A164" s="4">
        <v>163</v>
      </c>
      <c r="B164" s="5">
        <v>40551</v>
      </c>
      <c r="C164" s="4">
        <v>1</v>
      </c>
      <c r="D164" s="4">
        <v>1</v>
      </c>
      <c r="E164" s="4" t="b">
        <v>0</v>
      </c>
      <c r="F164" s="4">
        <v>6</v>
      </c>
      <c r="G164" s="4">
        <v>2</v>
      </c>
      <c r="H164" s="4">
        <v>0.18</v>
      </c>
      <c r="I164">
        <f>VLOOKUP(A164,[1]Datasheet_2!$A$2:$H$611,2,FALSE)</f>
        <v>162</v>
      </c>
      <c r="J164">
        <f>VLOOKUP(A164,[1]Datasheet_2!$A$2:$H$611,3,FALSE)</f>
        <v>0.21210000000000001</v>
      </c>
      <c r="K164" s="9">
        <f>VLOOKUP(A164,[1]Datasheet_2!$A$2:$H$611,4,FALSE)</f>
        <v>0.55000000000000004</v>
      </c>
      <c r="L164" s="8">
        <f>VLOOKUP(A164,[1]Datasheet_2!$A$2:$H$611,5,FALSE)</f>
        <v>8.9599999999999999E-2</v>
      </c>
      <c r="M164" s="8">
        <f>VLOOKUP(A164,[1]Datasheet_2!$A$2:$H$611,6,FALSE)</f>
        <v>1</v>
      </c>
      <c r="N164" s="8">
        <f>VLOOKUP(A164,[1]Datasheet_2!$A$2:$H$611,7,FALSE)</f>
        <v>15</v>
      </c>
      <c r="O164" s="9">
        <f>VLOOKUP(A164,[1]Datasheet_2!$A$2:$H$611,8,FALSE)</f>
        <v>16</v>
      </c>
    </row>
    <row r="165" spans="1:15" x14ac:dyDescent="0.3">
      <c r="A165" s="4">
        <v>164</v>
      </c>
      <c r="B165" s="5">
        <v>40551</v>
      </c>
      <c r="C165" s="4">
        <v>1</v>
      </c>
      <c r="D165" s="4">
        <v>2</v>
      </c>
      <c r="E165" s="4" t="b">
        <v>0</v>
      </c>
      <c r="F165" s="4">
        <v>6</v>
      </c>
      <c r="G165" s="4">
        <v>2</v>
      </c>
      <c r="H165" s="4">
        <v>0.18</v>
      </c>
      <c r="I165">
        <f>VLOOKUP(A165,[1]Datasheet_2!$A$2:$H$611,2,FALSE)</f>
        <v>163</v>
      </c>
      <c r="J165">
        <f>VLOOKUP(A165,[1]Datasheet_2!$A$2:$H$611,3,FALSE)</f>
        <v>0.2424</v>
      </c>
      <c r="K165" s="9">
        <f>VLOOKUP(A165,[1]Datasheet_2!$A$2:$H$611,4,FALSE)</f>
        <v>0.55000000000000004</v>
      </c>
      <c r="L165" s="8">
        <f>VLOOKUP(A165,[1]Datasheet_2!$A$2:$H$611,5,FALSE)</f>
        <v>0</v>
      </c>
      <c r="M165" s="8">
        <f>VLOOKUP(A165,[1]Datasheet_2!$A$2:$H$611,6,FALSE)</f>
        <v>3</v>
      </c>
      <c r="N165" s="8">
        <f>VLOOKUP(A165,[1]Datasheet_2!$A$2:$H$611,7,FALSE)</f>
        <v>13</v>
      </c>
      <c r="O165" s="9">
        <f>VLOOKUP(A165,[1]Datasheet_2!$A$2:$H$611,8,FALSE)</f>
        <v>16</v>
      </c>
    </row>
    <row r="166" spans="1:15" x14ac:dyDescent="0.3">
      <c r="A166" s="4">
        <v>165</v>
      </c>
      <c r="B166" s="5">
        <v>40551</v>
      </c>
      <c r="C166" s="4">
        <v>1</v>
      </c>
      <c r="D166" s="4">
        <v>3</v>
      </c>
      <c r="E166" s="4" t="b">
        <v>0</v>
      </c>
      <c r="F166" s="4">
        <v>6</v>
      </c>
      <c r="G166" s="4">
        <v>3</v>
      </c>
      <c r="H166" s="4">
        <v>0.18</v>
      </c>
      <c r="I166">
        <f>VLOOKUP(A166,[1]Datasheet_2!$A$2:$H$611,2,FALSE)</f>
        <v>164</v>
      </c>
      <c r="J166">
        <f>VLOOKUP(A166,[1]Datasheet_2!$A$2:$H$611,3,FALSE)</f>
        <v>0.19700000000000001</v>
      </c>
      <c r="K166" s="9">
        <f>VLOOKUP(A166,[1]Datasheet_2!$A$2:$H$611,4,FALSE)</f>
        <v>0.55000000000000004</v>
      </c>
      <c r="L166" s="8">
        <f>VLOOKUP(A166,[1]Datasheet_2!$A$2:$H$611,5,FALSE)</f>
        <v>0.16420000000000001</v>
      </c>
      <c r="M166" s="8">
        <f>VLOOKUP(A166,[1]Datasheet_2!$A$2:$H$611,6,FALSE)</f>
        <v>0</v>
      </c>
      <c r="N166" s="8">
        <f>VLOOKUP(A166,[1]Datasheet_2!$A$2:$H$611,7,FALSE)</f>
        <v>7</v>
      </c>
      <c r="O166" s="9">
        <f>VLOOKUP(A166,[1]Datasheet_2!$A$2:$H$611,8,FALSE)</f>
        <v>7</v>
      </c>
    </row>
    <row r="167" spans="1:15" x14ac:dyDescent="0.3">
      <c r="A167" s="4">
        <v>166</v>
      </c>
      <c r="B167" s="5">
        <v>40551</v>
      </c>
      <c r="C167" s="4">
        <v>1</v>
      </c>
      <c r="D167" s="4">
        <v>4</v>
      </c>
      <c r="E167" s="4" t="b">
        <v>0</v>
      </c>
      <c r="F167" s="4">
        <v>6</v>
      </c>
      <c r="G167" s="4">
        <v>3</v>
      </c>
      <c r="H167" s="4">
        <v>0.18</v>
      </c>
      <c r="I167">
        <f>VLOOKUP(A167,[1]Datasheet_2!$A$2:$H$611,2,FALSE)</f>
        <v>165</v>
      </c>
      <c r="J167">
        <f>VLOOKUP(A167,[1]Datasheet_2!$A$2:$H$611,3,FALSE)</f>
        <v>0.19700000000000001</v>
      </c>
      <c r="K167" s="9">
        <f>VLOOKUP(A167,[1]Datasheet_2!$A$2:$H$611,4,FALSE)</f>
        <v>0.55000000000000004</v>
      </c>
      <c r="L167" s="8">
        <f>VLOOKUP(A167,[1]Datasheet_2!$A$2:$H$611,5,FALSE)</f>
        <v>0.16420000000000001</v>
      </c>
      <c r="M167" s="8">
        <f>VLOOKUP(A167,[1]Datasheet_2!$A$2:$H$611,6,FALSE)</f>
        <v>0</v>
      </c>
      <c r="N167" s="8">
        <f>VLOOKUP(A167,[1]Datasheet_2!$A$2:$H$611,7,FALSE)</f>
        <v>1</v>
      </c>
      <c r="O167" s="9">
        <f>VLOOKUP(A167,[1]Datasheet_2!$A$2:$H$611,8,FALSE)</f>
        <v>1</v>
      </c>
    </row>
    <row r="168" spans="1:15" x14ac:dyDescent="0.3">
      <c r="A168" s="4">
        <v>167</v>
      </c>
      <c r="B168" s="5">
        <v>40551</v>
      </c>
      <c r="C168" s="4">
        <v>1</v>
      </c>
      <c r="D168" s="4">
        <v>5</v>
      </c>
      <c r="E168" s="4" t="b">
        <v>0</v>
      </c>
      <c r="F168" s="4">
        <v>6</v>
      </c>
      <c r="G168" s="4">
        <v>2</v>
      </c>
      <c r="H168" s="4">
        <v>0.16</v>
      </c>
      <c r="I168">
        <f>VLOOKUP(A168,[1]Datasheet_2!$A$2:$H$611,2,FALSE)</f>
        <v>166</v>
      </c>
      <c r="J168">
        <f>VLOOKUP(A168,[1]Datasheet_2!$A$2:$H$611,3,FALSE)</f>
        <v>0.16669999999999999</v>
      </c>
      <c r="K168" s="9">
        <f>VLOOKUP(A168,[1]Datasheet_2!$A$2:$H$611,4,FALSE)</f>
        <v>0.74</v>
      </c>
      <c r="L168" s="8">
        <f>VLOOKUP(A168,[1]Datasheet_2!$A$2:$H$611,5,FALSE)</f>
        <v>0.16420000000000001</v>
      </c>
      <c r="M168" s="8">
        <f>VLOOKUP(A168,[1]Datasheet_2!$A$2:$H$611,6,FALSE)</f>
        <v>0</v>
      </c>
      <c r="N168" s="8">
        <f>VLOOKUP(A168,[1]Datasheet_2!$A$2:$H$611,7,FALSE)</f>
        <v>5</v>
      </c>
      <c r="O168" s="9">
        <f>VLOOKUP(A168,[1]Datasheet_2!$A$2:$H$611,8,FALSE)</f>
        <v>5</v>
      </c>
    </row>
    <row r="169" spans="1:15" x14ac:dyDescent="0.3">
      <c r="A169" s="4">
        <v>168</v>
      </c>
      <c r="B169" s="5">
        <v>40551</v>
      </c>
      <c r="C169" s="4">
        <v>1</v>
      </c>
      <c r="D169" s="4">
        <v>6</v>
      </c>
      <c r="E169" s="4" t="b">
        <v>0</v>
      </c>
      <c r="F169" s="4">
        <v>6</v>
      </c>
      <c r="G169" s="4">
        <v>2</v>
      </c>
      <c r="H169" s="4">
        <v>0.16</v>
      </c>
      <c r="I169">
        <f>VLOOKUP(A169,[1]Datasheet_2!$A$2:$H$611,2,FALSE)</f>
        <v>167</v>
      </c>
      <c r="J169">
        <f>VLOOKUP(A169,[1]Datasheet_2!$A$2:$H$611,3,FALSE)</f>
        <v>0.16669999999999999</v>
      </c>
      <c r="K169" s="9">
        <f>VLOOKUP(A169,[1]Datasheet_2!$A$2:$H$611,4,FALSE)</f>
        <v>0.74</v>
      </c>
      <c r="L169" s="8">
        <f>VLOOKUP(A169,[1]Datasheet_2!$A$2:$H$611,5,FALSE)</f>
        <v>0.16420000000000001</v>
      </c>
      <c r="M169" s="8">
        <f>VLOOKUP(A169,[1]Datasheet_2!$A$2:$H$611,6,FALSE)</f>
        <v>0</v>
      </c>
      <c r="N169" s="8">
        <f>VLOOKUP(A169,[1]Datasheet_2!$A$2:$H$611,7,FALSE)</f>
        <v>2</v>
      </c>
      <c r="O169" s="9">
        <f>VLOOKUP(A169,[1]Datasheet_2!$A$2:$H$611,8,FALSE)</f>
        <v>2</v>
      </c>
    </row>
    <row r="170" spans="1:15" x14ac:dyDescent="0.3">
      <c r="A170" s="4">
        <v>169</v>
      </c>
      <c r="B170" s="5">
        <v>40551</v>
      </c>
      <c r="C170" s="4">
        <v>1</v>
      </c>
      <c r="D170" s="4">
        <v>7</v>
      </c>
      <c r="E170" s="4" t="b">
        <v>0</v>
      </c>
      <c r="F170" s="4">
        <v>6</v>
      </c>
      <c r="G170" s="4">
        <v>2</v>
      </c>
      <c r="H170" s="4">
        <v>0.16</v>
      </c>
      <c r="I170">
        <f>VLOOKUP(A170,[1]Datasheet_2!$A$2:$H$611,2,FALSE)</f>
        <v>168</v>
      </c>
      <c r="J170">
        <f>VLOOKUP(A170,[1]Datasheet_2!$A$2:$H$611,3,FALSE)</f>
        <v>0.18179999999999999</v>
      </c>
      <c r="K170" s="9">
        <f>VLOOKUP(A170,[1]Datasheet_2!$A$2:$H$611,4,FALSE)</f>
        <v>0.74</v>
      </c>
      <c r="L170" s="8">
        <f>VLOOKUP(A170,[1]Datasheet_2!$A$2:$H$611,5,FALSE)</f>
        <v>0.1045</v>
      </c>
      <c r="M170" s="8">
        <f>VLOOKUP(A170,[1]Datasheet_2!$A$2:$H$611,6,FALSE)</f>
        <v>1</v>
      </c>
      <c r="N170" s="8">
        <f>VLOOKUP(A170,[1]Datasheet_2!$A$2:$H$611,7,FALSE)</f>
        <v>8</v>
      </c>
      <c r="O170" s="9">
        <f>VLOOKUP(A170,[1]Datasheet_2!$A$2:$H$611,8,FALSE)</f>
        <v>9</v>
      </c>
    </row>
    <row r="171" spans="1:15" x14ac:dyDescent="0.3">
      <c r="A171" s="4">
        <v>170</v>
      </c>
      <c r="B171" s="5">
        <v>40551</v>
      </c>
      <c r="C171" s="4">
        <v>1</v>
      </c>
      <c r="D171" s="4">
        <v>8</v>
      </c>
      <c r="E171" s="4" t="b">
        <v>0</v>
      </c>
      <c r="F171" s="4">
        <v>6</v>
      </c>
      <c r="G171" s="4">
        <v>3</v>
      </c>
      <c r="H171" s="4">
        <v>0.16</v>
      </c>
      <c r="I171">
        <f>VLOOKUP(A171,[1]Datasheet_2!$A$2:$H$611,2,FALSE)</f>
        <v>169</v>
      </c>
      <c r="J171">
        <f>VLOOKUP(A171,[1]Datasheet_2!$A$2:$H$611,3,FALSE)</f>
        <v>0.18179999999999999</v>
      </c>
      <c r="K171" s="9">
        <f>VLOOKUP(A171,[1]Datasheet_2!$A$2:$H$611,4,FALSE)</f>
        <v>0.93</v>
      </c>
      <c r="L171" s="8">
        <f>VLOOKUP(A171,[1]Datasheet_2!$A$2:$H$611,5,FALSE)</f>
        <v>0.1045</v>
      </c>
      <c r="M171" s="8">
        <f>VLOOKUP(A171,[1]Datasheet_2!$A$2:$H$611,6,FALSE)</f>
        <v>0</v>
      </c>
      <c r="N171" s="8">
        <f>VLOOKUP(A171,[1]Datasheet_2!$A$2:$H$611,7,FALSE)</f>
        <v>15</v>
      </c>
      <c r="O171" s="9">
        <f>VLOOKUP(A171,[1]Datasheet_2!$A$2:$H$611,8,FALSE)</f>
        <v>15</v>
      </c>
    </row>
    <row r="172" spans="1:15" x14ac:dyDescent="0.3">
      <c r="A172" s="4">
        <v>171</v>
      </c>
      <c r="B172" s="5">
        <v>40551</v>
      </c>
      <c r="C172" s="4">
        <v>1</v>
      </c>
      <c r="D172" s="4">
        <v>9</v>
      </c>
      <c r="E172" s="4" t="b">
        <v>0</v>
      </c>
      <c r="F172" s="4">
        <v>6</v>
      </c>
      <c r="G172" s="4">
        <v>3</v>
      </c>
      <c r="H172" s="4">
        <v>0.16</v>
      </c>
      <c r="I172">
        <f>VLOOKUP(A172,[1]Datasheet_2!$A$2:$H$611,2,FALSE)</f>
        <v>170</v>
      </c>
      <c r="J172">
        <f>VLOOKUP(A172,[1]Datasheet_2!$A$2:$H$611,3,FALSE)</f>
        <v>0.18179999999999999</v>
      </c>
      <c r="K172" s="9">
        <f>VLOOKUP(A172,[1]Datasheet_2!$A$2:$H$611,4,FALSE)</f>
        <v>0.93</v>
      </c>
      <c r="L172" s="8">
        <f>VLOOKUP(A172,[1]Datasheet_2!$A$2:$H$611,5,FALSE)</f>
        <v>0.1045</v>
      </c>
      <c r="M172" s="8">
        <f>VLOOKUP(A172,[1]Datasheet_2!$A$2:$H$611,6,FALSE)</f>
        <v>0</v>
      </c>
      <c r="N172" s="8">
        <f>VLOOKUP(A172,[1]Datasheet_2!$A$2:$H$611,7,FALSE)</f>
        <v>20</v>
      </c>
      <c r="O172" s="9">
        <f>VLOOKUP(A172,[1]Datasheet_2!$A$2:$H$611,8,FALSE)</f>
        <v>20</v>
      </c>
    </row>
    <row r="173" spans="1:15" x14ac:dyDescent="0.3">
      <c r="A173" s="4">
        <v>172</v>
      </c>
      <c r="B173" s="5">
        <v>40551</v>
      </c>
      <c r="C173" s="4">
        <v>1</v>
      </c>
      <c r="D173" s="4">
        <v>10</v>
      </c>
      <c r="E173" s="4" t="b">
        <v>0</v>
      </c>
      <c r="F173" s="4">
        <v>6</v>
      </c>
      <c r="G173" s="4">
        <v>2</v>
      </c>
      <c r="H173" s="4">
        <v>0.18</v>
      </c>
      <c r="I173">
        <f>VLOOKUP(A173,[1]Datasheet_2!$A$2:$H$611,2,FALSE)</f>
        <v>171</v>
      </c>
      <c r="J173">
        <f>VLOOKUP(A173,[1]Datasheet_2!$A$2:$H$611,3,FALSE)</f>
        <v>0.19700000000000001</v>
      </c>
      <c r="K173" s="9">
        <f>VLOOKUP(A173,[1]Datasheet_2!$A$2:$H$611,4,FALSE)</f>
        <v>0.8</v>
      </c>
      <c r="L173" s="8">
        <f>VLOOKUP(A173,[1]Datasheet_2!$A$2:$H$611,5,FALSE)</f>
        <v>0.16420000000000001</v>
      </c>
      <c r="M173" s="8">
        <f>VLOOKUP(A173,[1]Datasheet_2!$A$2:$H$611,6,FALSE)</f>
        <v>5</v>
      </c>
      <c r="N173" s="8">
        <f>VLOOKUP(A173,[1]Datasheet_2!$A$2:$H$611,7,FALSE)</f>
        <v>56</v>
      </c>
      <c r="O173" s="9">
        <f>VLOOKUP(A173,[1]Datasheet_2!$A$2:$H$611,8,FALSE)</f>
        <v>61</v>
      </c>
    </row>
    <row r="174" spans="1:15" x14ac:dyDescent="0.3">
      <c r="A174" s="4">
        <v>173</v>
      </c>
      <c r="B174" s="5">
        <v>40551</v>
      </c>
      <c r="C174" s="4">
        <v>1</v>
      </c>
      <c r="D174" s="4">
        <v>11</v>
      </c>
      <c r="E174" s="4" t="b">
        <v>0</v>
      </c>
      <c r="F174" s="4">
        <v>6</v>
      </c>
      <c r="G174" s="4">
        <v>2</v>
      </c>
      <c r="H174" s="4">
        <v>0.2</v>
      </c>
      <c r="I174">
        <f>VLOOKUP(A174,[1]Datasheet_2!$A$2:$H$611,2,FALSE)</f>
        <v>172</v>
      </c>
      <c r="J174">
        <f>VLOOKUP(A174,[1]Datasheet_2!$A$2:$H$611,3,FALSE)</f>
        <v>0.18179999999999999</v>
      </c>
      <c r="K174" s="9">
        <f>VLOOKUP(A174,[1]Datasheet_2!$A$2:$H$611,4,FALSE)</f>
        <v>0.69</v>
      </c>
      <c r="L174" s="8">
        <f>VLOOKUP(A174,[1]Datasheet_2!$A$2:$H$611,5,FALSE)</f>
        <v>0.3881</v>
      </c>
      <c r="M174" s="8">
        <f>VLOOKUP(A174,[1]Datasheet_2!$A$2:$H$611,6,FALSE)</f>
        <v>2</v>
      </c>
      <c r="N174" s="8">
        <f>VLOOKUP(A174,[1]Datasheet_2!$A$2:$H$611,7,FALSE)</f>
        <v>60</v>
      </c>
      <c r="O174" s="9">
        <f>VLOOKUP(A174,[1]Datasheet_2!$A$2:$H$611,8,FALSE)</f>
        <v>62</v>
      </c>
    </row>
    <row r="175" spans="1:15" x14ac:dyDescent="0.3">
      <c r="A175" s="4">
        <v>174</v>
      </c>
      <c r="B175" s="5">
        <v>40551</v>
      </c>
      <c r="C175" s="4">
        <v>1</v>
      </c>
      <c r="D175" s="4">
        <v>12</v>
      </c>
      <c r="E175" s="4" t="b">
        <v>0</v>
      </c>
      <c r="F175" s="4">
        <v>6</v>
      </c>
      <c r="G175" s="4">
        <v>2</v>
      </c>
      <c r="H175" s="4">
        <v>0.2</v>
      </c>
      <c r="I175">
        <f>VLOOKUP(A175,[1]Datasheet_2!$A$2:$H$611,2,FALSE)</f>
        <v>173</v>
      </c>
      <c r="J175">
        <f>VLOOKUP(A175,[1]Datasheet_2!$A$2:$H$611,3,FALSE)</f>
        <v>0.18179999999999999</v>
      </c>
      <c r="K175" s="9">
        <f>VLOOKUP(A175,[1]Datasheet_2!$A$2:$H$611,4,FALSE)</f>
        <v>0.59</v>
      </c>
      <c r="L175" s="8">
        <f>VLOOKUP(A175,[1]Datasheet_2!$A$2:$H$611,5,FALSE)</f>
        <v>0.35820000000000002</v>
      </c>
      <c r="M175" s="8">
        <f>VLOOKUP(A175,[1]Datasheet_2!$A$2:$H$611,6,FALSE)</f>
        <v>8</v>
      </c>
      <c r="N175" s="8">
        <f>VLOOKUP(A175,[1]Datasheet_2!$A$2:$H$611,7,FALSE)</f>
        <v>90</v>
      </c>
      <c r="O175" s="9">
        <f>VLOOKUP(A175,[1]Datasheet_2!$A$2:$H$611,8,FALSE)</f>
        <v>98</v>
      </c>
    </row>
    <row r="176" spans="1:15" x14ac:dyDescent="0.3">
      <c r="A176" s="4">
        <v>175</v>
      </c>
      <c r="B176" s="5">
        <v>40551</v>
      </c>
      <c r="C176" s="4">
        <v>1</v>
      </c>
      <c r="D176" s="4">
        <v>13</v>
      </c>
      <c r="E176" s="4" t="b">
        <v>0</v>
      </c>
      <c r="F176" s="4">
        <v>6</v>
      </c>
      <c r="G176" s="4">
        <v>1</v>
      </c>
      <c r="H176" s="4">
        <v>0.2</v>
      </c>
      <c r="I176">
        <f>VLOOKUP(A176,[1]Datasheet_2!$A$2:$H$611,2,FALSE)</f>
        <v>174</v>
      </c>
      <c r="J176">
        <f>VLOOKUP(A176,[1]Datasheet_2!$A$2:$H$611,3,FALSE)</f>
        <v>0.18179999999999999</v>
      </c>
      <c r="K176" s="9">
        <f>VLOOKUP(A176,[1]Datasheet_2!$A$2:$H$611,4,FALSE)</f>
        <v>0.44</v>
      </c>
      <c r="L176" s="8">
        <f>VLOOKUP(A176,[1]Datasheet_2!$A$2:$H$611,5,FALSE)</f>
        <v>0.32840000000000003</v>
      </c>
      <c r="M176" s="8">
        <f>VLOOKUP(A176,[1]Datasheet_2!$A$2:$H$611,6,FALSE)</f>
        <v>7</v>
      </c>
      <c r="N176" s="8">
        <f>VLOOKUP(A176,[1]Datasheet_2!$A$2:$H$611,7,FALSE)</f>
        <v>95</v>
      </c>
      <c r="O176" s="9">
        <f>VLOOKUP(A176,[1]Datasheet_2!$A$2:$H$611,8,FALSE)</f>
        <v>102</v>
      </c>
    </row>
    <row r="177" spans="1:15" x14ac:dyDescent="0.3">
      <c r="A177" s="4">
        <v>176</v>
      </c>
      <c r="B177" s="5">
        <v>40551</v>
      </c>
      <c r="C177" s="4">
        <v>1</v>
      </c>
      <c r="D177" s="4">
        <v>14</v>
      </c>
      <c r="E177" s="4" t="b">
        <v>0</v>
      </c>
      <c r="F177" s="4">
        <v>6</v>
      </c>
      <c r="G177" s="4">
        <v>1</v>
      </c>
      <c r="H177" s="4">
        <v>0.2</v>
      </c>
      <c r="I177">
        <f>VLOOKUP(A177,[1]Datasheet_2!$A$2:$H$611,2,FALSE)</f>
        <v>175</v>
      </c>
      <c r="J177">
        <f>VLOOKUP(A177,[1]Datasheet_2!$A$2:$H$611,3,FALSE)</f>
        <v>0.16669999999999999</v>
      </c>
      <c r="K177" s="9">
        <f>VLOOKUP(A177,[1]Datasheet_2!$A$2:$H$611,4,FALSE)</f>
        <v>0.32</v>
      </c>
      <c r="L177" s="8">
        <f>VLOOKUP(A177,[1]Datasheet_2!$A$2:$H$611,5,FALSE)</f>
        <v>0.49249999999999999</v>
      </c>
      <c r="M177" s="8">
        <f>VLOOKUP(A177,[1]Datasheet_2!$A$2:$H$611,6,FALSE)</f>
        <v>12</v>
      </c>
      <c r="N177" s="8">
        <f>VLOOKUP(A177,[1]Datasheet_2!$A$2:$H$611,7,FALSE)</f>
        <v>83</v>
      </c>
      <c r="O177" s="9">
        <f>VLOOKUP(A177,[1]Datasheet_2!$A$2:$H$611,8,FALSE)</f>
        <v>95</v>
      </c>
    </row>
    <row r="178" spans="1:15" x14ac:dyDescent="0.3">
      <c r="A178" s="4">
        <v>177</v>
      </c>
      <c r="B178" s="5">
        <v>40551</v>
      </c>
      <c r="C178" s="4">
        <v>1</v>
      </c>
      <c r="D178" s="4">
        <v>15</v>
      </c>
      <c r="E178" s="4" t="b">
        <v>0</v>
      </c>
      <c r="F178" s="4">
        <v>6</v>
      </c>
      <c r="G178" s="4">
        <v>1</v>
      </c>
      <c r="H178" s="4">
        <v>0.2</v>
      </c>
      <c r="I178">
        <f>VLOOKUP(A178,[1]Datasheet_2!$A$2:$H$611,2,FALSE)</f>
        <v>176</v>
      </c>
      <c r="J178">
        <f>VLOOKUP(A178,[1]Datasheet_2!$A$2:$H$611,3,FALSE)</f>
        <v>0.16669999999999999</v>
      </c>
      <c r="K178" s="9">
        <f>VLOOKUP(A178,[1]Datasheet_2!$A$2:$H$611,4,FALSE)</f>
        <v>0.32</v>
      </c>
      <c r="L178" s="8">
        <f>VLOOKUP(A178,[1]Datasheet_2!$A$2:$H$611,5,FALSE)</f>
        <v>0.44779999999999998</v>
      </c>
      <c r="M178" s="8">
        <f>VLOOKUP(A178,[1]Datasheet_2!$A$2:$H$611,6,FALSE)</f>
        <v>5</v>
      </c>
      <c r="N178" s="8">
        <f>VLOOKUP(A178,[1]Datasheet_2!$A$2:$H$611,7,FALSE)</f>
        <v>69</v>
      </c>
      <c r="O178" s="9">
        <f>VLOOKUP(A178,[1]Datasheet_2!$A$2:$H$611,8,FALSE)</f>
        <v>74</v>
      </c>
    </row>
    <row r="179" spans="1:15" x14ac:dyDescent="0.3">
      <c r="A179" s="4">
        <v>178</v>
      </c>
      <c r="B179" s="5">
        <v>40551</v>
      </c>
      <c r="C179" s="4">
        <v>1</v>
      </c>
      <c r="D179" s="4">
        <v>16</v>
      </c>
      <c r="E179" s="4" t="b">
        <v>0</v>
      </c>
      <c r="F179" s="4">
        <v>6</v>
      </c>
      <c r="G179" s="4">
        <v>1</v>
      </c>
      <c r="H179" s="4">
        <v>0.18</v>
      </c>
      <c r="I179">
        <f>VLOOKUP(A179,[1]Datasheet_2!$A$2:$H$611,2,FALSE)</f>
        <v>177</v>
      </c>
      <c r="J179">
        <f>VLOOKUP(A179,[1]Datasheet_2!$A$2:$H$611,3,FALSE)</f>
        <v>0.13639999999999999</v>
      </c>
      <c r="K179" s="9">
        <f>VLOOKUP(A179,[1]Datasheet_2!$A$2:$H$611,4,FALSE)</f>
        <v>0.28999999999999998</v>
      </c>
      <c r="L179" s="8">
        <f>VLOOKUP(A179,[1]Datasheet_2!$A$2:$H$611,5,FALSE)</f>
        <v>0.44779999999999998</v>
      </c>
      <c r="M179" s="8">
        <f>VLOOKUP(A179,[1]Datasheet_2!$A$2:$H$611,6,FALSE)</f>
        <v>8</v>
      </c>
      <c r="N179" s="8">
        <f>VLOOKUP(A179,[1]Datasheet_2!$A$2:$H$611,7,FALSE)</f>
        <v>68</v>
      </c>
      <c r="O179" s="9">
        <f>VLOOKUP(A179,[1]Datasheet_2!$A$2:$H$611,8,FALSE)</f>
        <v>76</v>
      </c>
    </row>
    <row r="180" spans="1:15" x14ac:dyDescent="0.3">
      <c r="A180" s="4">
        <v>179</v>
      </c>
      <c r="B180" s="5">
        <v>40551</v>
      </c>
      <c r="C180" s="4">
        <v>1</v>
      </c>
      <c r="D180" s="4">
        <v>17</v>
      </c>
      <c r="E180" s="4" t="b">
        <v>0</v>
      </c>
      <c r="F180" s="4">
        <v>6</v>
      </c>
      <c r="G180" s="4">
        <v>1</v>
      </c>
      <c r="H180" s="4">
        <v>0.16</v>
      </c>
      <c r="I180">
        <f>VLOOKUP(A180,[1]Datasheet_2!$A$2:$H$611,2,FALSE)</f>
        <v>178</v>
      </c>
      <c r="J180">
        <f>VLOOKUP(A180,[1]Datasheet_2!$A$2:$H$611,3,FALSE)</f>
        <v>0.1212</v>
      </c>
      <c r="K180" s="9">
        <f>VLOOKUP(A180,[1]Datasheet_2!$A$2:$H$611,4,FALSE)</f>
        <v>0.37</v>
      </c>
      <c r="L180" s="8">
        <f>VLOOKUP(A180,[1]Datasheet_2!$A$2:$H$611,5,FALSE)</f>
        <v>0.55220000000000002</v>
      </c>
      <c r="M180" s="8">
        <f>VLOOKUP(A180,[1]Datasheet_2!$A$2:$H$611,6,FALSE)</f>
        <v>5</v>
      </c>
      <c r="N180" s="8">
        <f>VLOOKUP(A180,[1]Datasheet_2!$A$2:$H$611,7,FALSE)</f>
        <v>64</v>
      </c>
      <c r="O180" s="9">
        <f>VLOOKUP(A180,[1]Datasheet_2!$A$2:$H$611,8,FALSE)</f>
        <v>69</v>
      </c>
    </row>
    <row r="181" spans="1:15" x14ac:dyDescent="0.3">
      <c r="A181" s="4">
        <v>180</v>
      </c>
      <c r="B181" s="5">
        <v>40551</v>
      </c>
      <c r="C181" s="4">
        <v>1</v>
      </c>
      <c r="D181" s="4">
        <v>18</v>
      </c>
      <c r="E181" s="4" t="b">
        <v>0</v>
      </c>
      <c r="F181" s="4">
        <v>6</v>
      </c>
      <c r="G181" s="4">
        <v>1</v>
      </c>
      <c r="H181" s="4">
        <v>0.14000000000000001</v>
      </c>
      <c r="I181">
        <f>VLOOKUP(A181,[1]Datasheet_2!$A$2:$H$611,2,FALSE)</f>
        <v>179</v>
      </c>
      <c r="J181">
        <f>VLOOKUP(A181,[1]Datasheet_2!$A$2:$H$611,3,FALSE)</f>
        <v>0.1212</v>
      </c>
      <c r="K181" s="9">
        <f>VLOOKUP(A181,[1]Datasheet_2!$A$2:$H$611,4,FALSE)</f>
        <v>0.39</v>
      </c>
      <c r="L181" s="8">
        <f>VLOOKUP(A181,[1]Datasheet_2!$A$2:$H$611,5,FALSE)</f>
        <v>0.29849999999999999</v>
      </c>
      <c r="M181" s="8">
        <f>VLOOKUP(A181,[1]Datasheet_2!$A$2:$H$611,6,FALSE)</f>
        <v>3</v>
      </c>
      <c r="N181" s="8">
        <f>VLOOKUP(A181,[1]Datasheet_2!$A$2:$H$611,7,FALSE)</f>
        <v>52</v>
      </c>
      <c r="O181" s="9">
        <f>VLOOKUP(A181,[1]Datasheet_2!$A$2:$H$611,8,FALSE)</f>
        <v>55</v>
      </c>
    </row>
    <row r="182" spans="1:15" x14ac:dyDescent="0.3">
      <c r="A182" s="4">
        <v>181</v>
      </c>
      <c r="B182" s="5">
        <v>40551</v>
      </c>
      <c r="C182" s="4">
        <v>1</v>
      </c>
      <c r="D182" s="4">
        <v>19</v>
      </c>
      <c r="E182" s="4" t="b">
        <v>0</v>
      </c>
      <c r="F182" s="4">
        <v>6</v>
      </c>
      <c r="G182" s="4">
        <v>1</v>
      </c>
      <c r="H182" s="4">
        <v>0.14000000000000001</v>
      </c>
      <c r="I182">
        <f>VLOOKUP(A182,[1]Datasheet_2!$A$2:$H$611,2,FALSE)</f>
        <v>180</v>
      </c>
      <c r="J182">
        <f>VLOOKUP(A182,[1]Datasheet_2!$A$2:$H$611,3,FALSE)</f>
        <v>0.1212</v>
      </c>
      <c r="K182" s="9">
        <f>VLOOKUP(A182,[1]Datasheet_2!$A$2:$H$611,4,FALSE)</f>
        <v>0.36</v>
      </c>
      <c r="L182" s="8">
        <f>VLOOKUP(A182,[1]Datasheet_2!$A$2:$H$611,5,FALSE)</f>
        <v>0.25369999999999998</v>
      </c>
      <c r="M182" s="8">
        <f>VLOOKUP(A182,[1]Datasheet_2!$A$2:$H$611,6,FALSE)</f>
        <v>4</v>
      </c>
      <c r="N182" s="8">
        <f>VLOOKUP(A182,[1]Datasheet_2!$A$2:$H$611,7,FALSE)</f>
        <v>26</v>
      </c>
      <c r="O182" s="9">
        <f>VLOOKUP(A182,[1]Datasheet_2!$A$2:$H$611,8,FALSE)</f>
        <v>30</v>
      </c>
    </row>
    <row r="183" spans="1:15" x14ac:dyDescent="0.3">
      <c r="A183" s="4">
        <v>182</v>
      </c>
      <c r="B183" s="5">
        <v>40551</v>
      </c>
      <c r="C183" s="4">
        <v>1</v>
      </c>
      <c r="D183" s="4">
        <v>20</v>
      </c>
      <c r="E183" s="4" t="b">
        <v>0</v>
      </c>
      <c r="F183" s="4">
        <v>6</v>
      </c>
      <c r="G183" s="4">
        <v>1</v>
      </c>
      <c r="H183" s="4">
        <v>0.12</v>
      </c>
      <c r="I183">
        <f>VLOOKUP(A183,[1]Datasheet_2!$A$2:$H$611,2,FALSE)</f>
        <v>181</v>
      </c>
      <c r="J183">
        <f>VLOOKUP(A183,[1]Datasheet_2!$A$2:$H$611,3,FALSE)</f>
        <v>0.1212</v>
      </c>
      <c r="K183" s="9">
        <f>VLOOKUP(A183,[1]Datasheet_2!$A$2:$H$611,4,FALSE)</f>
        <v>0.36</v>
      </c>
      <c r="L183" s="8">
        <f>VLOOKUP(A183,[1]Datasheet_2!$A$2:$H$611,5,FALSE)</f>
        <v>0.25369999999999998</v>
      </c>
      <c r="M183" s="8">
        <f>VLOOKUP(A183,[1]Datasheet_2!$A$2:$H$611,6,FALSE)</f>
        <v>0</v>
      </c>
      <c r="N183" s="8">
        <f>VLOOKUP(A183,[1]Datasheet_2!$A$2:$H$611,7,FALSE)</f>
        <v>28</v>
      </c>
      <c r="O183" s="9">
        <f>VLOOKUP(A183,[1]Datasheet_2!$A$2:$H$611,8,FALSE)</f>
        <v>28</v>
      </c>
    </row>
    <row r="184" spans="1:15" x14ac:dyDescent="0.3">
      <c r="A184" s="4">
        <v>183</v>
      </c>
      <c r="B184" s="5">
        <v>40551</v>
      </c>
      <c r="C184" s="4">
        <v>1</v>
      </c>
      <c r="D184" s="4">
        <v>21</v>
      </c>
      <c r="E184" s="4" t="b">
        <v>0</v>
      </c>
      <c r="F184" s="4">
        <v>6</v>
      </c>
      <c r="G184" s="4">
        <v>1</v>
      </c>
      <c r="H184" s="4">
        <v>0.12</v>
      </c>
      <c r="I184">
        <f>VLOOKUP(A184,[1]Datasheet_2!$A$2:$H$611,2,FALSE)</f>
        <v>182</v>
      </c>
      <c r="J184">
        <f>VLOOKUP(A184,[1]Datasheet_2!$A$2:$H$611,3,FALSE)</f>
        <v>0.1061</v>
      </c>
      <c r="K184" s="9">
        <f>VLOOKUP(A184,[1]Datasheet_2!$A$2:$H$611,4,FALSE)</f>
        <v>0.39</v>
      </c>
      <c r="L184" s="8">
        <f>VLOOKUP(A184,[1]Datasheet_2!$A$2:$H$611,5,FALSE)</f>
        <v>0.35820000000000002</v>
      </c>
      <c r="M184" s="8">
        <f>VLOOKUP(A184,[1]Datasheet_2!$A$2:$H$611,6,FALSE)</f>
        <v>2</v>
      </c>
      <c r="N184" s="8">
        <f>VLOOKUP(A184,[1]Datasheet_2!$A$2:$H$611,7,FALSE)</f>
        <v>35</v>
      </c>
      <c r="O184" s="9">
        <f>VLOOKUP(A184,[1]Datasheet_2!$A$2:$H$611,8,FALSE)</f>
        <v>37</v>
      </c>
    </row>
    <row r="185" spans="1:15" x14ac:dyDescent="0.3">
      <c r="A185" s="4">
        <v>184</v>
      </c>
      <c r="B185" s="5">
        <v>40551</v>
      </c>
      <c r="C185" s="4">
        <v>1</v>
      </c>
      <c r="D185" s="4">
        <v>22</v>
      </c>
      <c r="E185" s="4" t="b">
        <v>0</v>
      </c>
      <c r="F185" s="4">
        <v>6</v>
      </c>
      <c r="G185" s="4">
        <v>1</v>
      </c>
      <c r="H185" s="4">
        <v>0.12</v>
      </c>
      <c r="I185">
        <f>VLOOKUP(A185,[1]Datasheet_2!$A$2:$H$611,2,FALSE)</f>
        <v>183</v>
      </c>
      <c r="J185">
        <f>VLOOKUP(A185,[1]Datasheet_2!$A$2:$H$611,3,FALSE)</f>
        <v>0.1061</v>
      </c>
      <c r="K185" s="9">
        <f>VLOOKUP(A185,[1]Datasheet_2!$A$2:$H$611,4,FALSE)</f>
        <v>0.36</v>
      </c>
      <c r="L185" s="8">
        <f>VLOOKUP(A185,[1]Datasheet_2!$A$2:$H$611,5,FALSE)</f>
        <v>0.3881</v>
      </c>
      <c r="M185" s="8">
        <f>VLOOKUP(A185,[1]Datasheet_2!$A$2:$H$611,6,FALSE)</f>
        <v>1</v>
      </c>
      <c r="N185" s="8">
        <f>VLOOKUP(A185,[1]Datasheet_2!$A$2:$H$611,7,FALSE)</f>
        <v>33</v>
      </c>
      <c r="O185" s="9">
        <f>VLOOKUP(A185,[1]Datasheet_2!$A$2:$H$611,8,FALSE)</f>
        <v>34</v>
      </c>
    </row>
    <row r="186" spans="1:15" x14ac:dyDescent="0.3">
      <c r="A186" s="4">
        <v>185</v>
      </c>
      <c r="B186" s="5">
        <v>40551</v>
      </c>
      <c r="C186" s="4">
        <v>1</v>
      </c>
      <c r="D186" s="4">
        <v>23</v>
      </c>
      <c r="E186" s="4" t="b">
        <v>0</v>
      </c>
      <c r="F186" s="4">
        <v>6</v>
      </c>
      <c r="G186" s="4">
        <v>1</v>
      </c>
      <c r="H186" s="4">
        <v>0.1</v>
      </c>
      <c r="I186">
        <f>VLOOKUP(A186,[1]Datasheet_2!$A$2:$H$611,2,FALSE)</f>
        <v>184</v>
      </c>
      <c r="J186">
        <f>VLOOKUP(A186,[1]Datasheet_2!$A$2:$H$611,3,FALSE)</f>
        <v>6.0600000000000001E-2</v>
      </c>
      <c r="K186" s="9">
        <f>VLOOKUP(A186,[1]Datasheet_2!$A$2:$H$611,4,FALSE)</f>
        <v>0.39</v>
      </c>
      <c r="L186" s="8">
        <f>VLOOKUP(A186,[1]Datasheet_2!$A$2:$H$611,5,FALSE)</f>
        <v>0.44779999999999998</v>
      </c>
      <c r="M186" s="8">
        <f>VLOOKUP(A186,[1]Datasheet_2!$A$2:$H$611,6,FALSE)</f>
        <v>0</v>
      </c>
      <c r="N186" s="8">
        <f>VLOOKUP(A186,[1]Datasheet_2!$A$2:$H$611,7,FALSE)</f>
        <v>22</v>
      </c>
      <c r="O186" s="9">
        <f>VLOOKUP(A186,[1]Datasheet_2!$A$2:$H$611,8,FALSE)</f>
        <v>22</v>
      </c>
    </row>
    <row r="187" spans="1:15" x14ac:dyDescent="0.3">
      <c r="A187" s="4">
        <v>186</v>
      </c>
      <c r="B187" s="5">
        <v>40552</v>
      </c>
      <c r="C187" s="4">
        <v>1</v>
      </c>
      <c r="D187" s="4">
        <v>0</v>
      </c>
      <c r="E187" s="4" t="b">
        <v>0</v>
      </c>
      <c r="F187" s="4">
        <v>0</v>
      </c>
      <c r="G187" s="4">
        <v>1</v>
      </c>
      <c r="H187" s="4">
        <v>0.1</v>
      </c>
      <c r="I187">
        <f>VLOOKUP(A187,[1]Datasheet_2!$A$2:$H$611,2,FALSE)</f>
        <v>185</v>
      </c>
      <c r="J187">
        <f>VLOOKUP(A187,[1]Datasheet_2!$A$2:$H$611,3,FALSE)</f>
        <v>7.5800000000000006E-2</v>
      </c>
      <c r="K187" s="9">
        <f>VLOOKUP(A187,[1]Datasheet_2!$A$2:$H$611,4,FALSE)</f>
        <v>0.42</v>
      </c>
      <c r="L187" s="8">
        <f>VLOOKUP(A187,[1]Datasheet_2!$A$2:$H$611,5,FALSE)</f>
        <v>0.3881</v>
      </c>
      <c r="M187" s="8">
        <f>VLOOKUP(A187,[1]Datasheet_2!$A$2:$H$611,6,FALSE)</f>
        <v>1</v>
      </c>
      <c r="N187" s="8">
        <f>VLOOKUP(A187,[1]Datasheet_2!$A$2:$H$611,7,FALSE)</f>
        <v>24</v>
      </c>
      <c r="O187" s="9">
        <f>VLOOKUP(A187,[1]Datasheet_2!$A$2:$H$611,8,FALSE)</f>
        <v>25</v>
      </c>
    </row>
    <row r="188" spans="1:15" x14ac:dyDescent="0.3">
      <c r="A188" s="4">
        <v>187</v>
      </c>
      <c r="B188" s="5">
        <v>40552</v>
      </c>
      <c r="C188" s="4">
        <v>1</v>
      </c>
      <c r="D188" s="4">
        <v>1</v>
      </c>
      <c r="E188" s="4" t="b">
        <v>0</v>
      </c>
      <c r="F188" s="4">
        <v>0</v>
      </c>
      <c r="G188" s="4">
        <v>1</v>
      </c>
      <c r="H188" s="4">
        <v>0.1</v>
      </c>
      <c r="I188">
        <f>VLOOKUP(A188,[1]Datasheet_2!$A$2:$H$611,2,FALSE)</f>
        <v>186</v>
      </c>
      <c r="J188">
        <f>VLOOKUP(A188,[1]Datasheet_2!$A$2:$H$611,3,FALSE)</f>
        <v>6.0600000000000001E-2</v>
      </c>
      <c r="K188" s="9">
        <f>VLOOKUP(A188,[1]Datasheet_2!$A$2:$H$611,4,FALSE)</f>
        <v>0.42</v>
      </c>
      <c r="L188" s="8">
        <f>VLOOKUP(A188,[1]Datasheet_2!$A$2:$H$611,5,FALSE)</f>
        <v>0.4627</v>
      </c>
      <c r="M188" s="8">
        <f>VLOOKUP(A188,[1]Datasheet_2!$A$2:$H$611,6,FALSE)</f>
        <v>0</v>
      </c>
      <c r="N188" s="8">
        <f>VLOOKUP(A188,[1]Datasheet_2!$A$2:$H$611,7,FALSE)</f>
        <v>12</v>
      </c>
      <c r="O188" s="9">
        <f>VLOOKUP(A188,[1]Datasheet_2!$A$2:$H$611,8,FALSE)</f>
        <v>12</v>
      </c>
    </row>
    <row r="189" spans="1:15" x14ac:dyDescent="0.3">
      <c r="A189" s="4">
        <v>188</v>
      </c>
      <c r="B189" s="5">
        <v>40552</v>
      </c>
      <c r="C189" s="4">
        <v>1</v>
      </c>
      <c r="D189" s="4">
        <v>2</v>
      </c>
      <c r="E189" s="4" t="b">
        <v>0</v>
      </c>
      <c r="F189" s="4">
        <v>0</v>
      </c>
      <c r="G189" s="4">
        <v>1</v>
      </c>
      <c r="H189" s="4">
        <v>0.1</v>
      </c>
      <c r="I189">
        <f>VLOOKUP(A189,[1]Datasheet_2!$A$2:$H$611,2,FALSE)</f>
        <v>187</v>
      </c>
      <c r="J189">
        <f>VLOOKUP(A189,[1]Datasheet_2!$A$2:$H$611,3,FALSE)</f>
        <v>6.0600000000000001E-2</v>
      </c>
      <c r="K189" s="9">
        <f>VLOOKUP(A189,[1]Datasheet_2!$A$2:$H$611,4,FALSE)</f>
        <v>0.46</v>
      </c>
      <c r="L189" s="8">
        <f>VLOOKUP(A189,[1]Datasheet_2!$A$2:$H$611,5,FALSE)</f>
        <v>0.4627</v>
      </c>
      <c r="M189" s="8">
        <f>VLOOKUP(A189,[1]Datasheet_2!$A$2:$H$611,6,FALSE)</f>
        <v>0</v>
      </c>
      <c r="N189" s="8">
        <f>VLOOKUP(A189,[1]Datasheet_2!$A$2:$H$611,7,FALSE)</f>
        <v>11</v>
      </c>
      <c r="O189" s="9">
        <f>VLOOKUP(A189,[1]Datasheet_2!$A$2:$H$611,8,FALSE)</f>
        <v>11</v>
      </c>
    </row>
    <row r="190" spans="1:15" x14ac:dyDescent="0.3">
      <c r="A190" s="4">
        <v>189</v>
      </c>
      <c r="B190" s="5">
        <v>40552</v>
      </c>
      <c r="C190" s="4">
        <v>1</v>
      </c>
      <c r="D190" s="4">
        <v>3</v>
      </c>
      <c r="E190" s="4" t="b">
        <v>0</v>
      </c>
      <c r="F190" s="4">
        <v>0</v>
      </c>
      <c r="G190" s="4">
        <v>1</v>
      </c>
      <c r="H190" s="4">
        <v>0.1</v>
      </c>
      <c r="I190">
        <f>VLOOKUP(A190,[1]Datasheet_2!$A$2:$H$611,2,FALSE)</f>
        <v>188</v>
      </c>
      <c r="J190">
        <f>VLOOKUP(A190,[1]Datasheet_2!$A$2:$H$611,3,FALSE)</f>
        <v>7.5800000000000006E-2</v>
      </c>
      <c r="K190" s="9">
        <f>VLOOKUP(A190,[1]Datasheet_2!$A$2:$H$611,4,FALSE)</f>
        <v>0.46</v>
      </c>
      <c r="L190" s="8">
        <f>VLOOKUP(A190,[1]Datasheet_2!$A$2:$H$611,5,FALSE)</f>
        <v>0.41789999999999999</v>
      </c>
      <c r="M190" s="8">
        <f>VLOOKUP(A190,[1]Datasheet_2!$A$2:$H$611,6,FALSE)</f>
        <v>0</v>
      </c>
      <c r="N190" s="8">
        <f>VLOOKUP(A190,[1]Datasheet_2!$A$2:$H$611,7,FALSE)</f>
        <v>4</v>
      </c>
      <c r="O190" s="9">
        <f>VLOOKUP(A190,[1]Datasheet_2!$A$2:$H$611,8,FALSE)</f>
        <v>4</v>
      </c>
    </row>
    <row r="191" spans="1:15" x14ac:dyDescent="0.3">
      <c r="A191" s="4">
        <v>190</v>
      </c>
      <c r="B191" s="5">
        <v>40552</v>
      </c>
      <c r="C191" s="4">
        <v>1</v>
      </c>
      <c r="D191" s="4">
        <v>4</v>
      </c>
      <c r="E191" s="4" t="b">
        <v>0</v>
      </c>
      <c r="F191" s="4">
        <v>0</v>
      </c>
      <c r="G191" s="4">
        <v>1</v>
      </c>
      <c r="H191" s="4">
        <v>0.08</v>
      </c>
      <c r="I191">
        <f>VLOOKUP(A191,[1]Datasheet_2!$A$2:$H$611,2,FALSE)</f>
        <v>189</v>
      </c>
      <c r="J191">
        <f>VLOOKUP(A191,[1]Datasheet_2!$A$2:$H$611,3,FALSE)</f>
        <v>9.0899999999999995E-2</v>
      </c>
      <c r="K191" s="9">
        <f>VLOOKUP(A191,[1]Datasheet_2!$A$2:$H$611,4,FALSE)</f>
        <v>0.53</v>
      </c>
      <c r="L191" s="8">
        <f>VLOOKUP(A191,[1]Datasheet_2!$A$2:$H$611,5,FALSE)</f>
        <v>0.19400000000000001</v>
      </c>
      <c r="M191" s="8">
        <f>VLOOKUP(A191,[1]Datasheet_2!$A$2:$H$611,6,FALSE)</f>
        <v>0</v>
      </c>
      <c r="N191" s="8">
        <f>VLOOKUP(A191,[1]Datasheet_2!$A$2:$H$611,7,FALSE)</f>
        <v>1</v>
      </c>
      <c r="O191" s="9">
        <f>VLOOKUP(A191,[1]Datasheet_2!$A$2:$H$611,8,FALSE)</f>
        <v>1</v>
      </c>
    </row>
    <row r="192" spans="1:15" x14ac:dyDescent="0.3">
      <c r="A192" s="4">
        <v>191</v>
      </c>
      <c r="B192" s="5">
        <v>40552</v>
      </c>
      <c r="C192" s="4">
        <v>1</v>
      </c>
      <c r="D192" s="4">
        <v>5</v>
      </c>
      <c r="E192" s="4" t="b">
        <v>0</v>
      </c>
      <c r="F192" s="4">
        <v>0</v>
      </c>
      <c r="G192" s="4">
        <v>1</v>
      </c>
      <c r="H192" s="4">
        <v>0.08</v>
      </c>
      <c r="I192">
        <f>VLOOKUP(A192,[1]Datasheet_2!$A$2:$H$611,2,FALSE)</f>
        <v>190</v>
      </c>
      <c r="J192">
        <f>VLOOKUP(A192,[1]Datasheet_2!$A$2:$H$611,3,FALSE)</f>
        <v>9.0899999999999995E-2</v>
      </c>
      <c r="K192" s="9">
        <f>VLOOKUP(A192,[1]Datasheet_2!$A$2:$H$611,4,FALSE)</f>
        <v>0.53</v>
      </c>
      <c r="L192" s="8">
        <f>VLOOKUP(A192,[1]Datasheet_2!$A$2:$H$611,5,FALSE)</f>
        <v>0.19400000000000001</v>
      </c>
      <c r="M192" s="8">
        <f>VLOOKUP(A192,[1]Datasheet_2!$A$2:$H$611,6,FALSE)</f>
        <v>0</v>
      </c>
      <c r="N192" s="8">
        <f>VLOOKUP(A192,[1]Datasheet_2!$A$2:$H$611,7,FALSE)</f>
        <v>1</v>
      </c>
      <c r="O192" s="9">
        <f>VLOOKUP(A192,[1]Datasheet_2!$A$2:$H$611,8,FALSE)</f>
        <v>1</v>
      </c>
    </row>
    <row r="193" spans="1:15" x14ac:dyDescent="0.3">
      <c r="A193" s="4">
        <v>192</v>
      </c>
      <c r="B193" s="5">
        <v>40552</v>
      </c>
      <c r="C193" s="4">
        <v>1</v>
      </c>
      <c r="D193" s="4">
        <v>6</v>
      </c>
      <c r="E193" s="4" t="b">
        <v>0</v>
      </c>
      <c r="F193" s="4">
        <v>0</v>
      </c>
      <c r="G193" s="4">
        <v>1</v>
      </c>
      <c r="H193" s="4">
        <v>0.1</v>
      </c>
      <c r="I193">
        <f>VLOOKUP(A193,[1]Datasheet_2!$A$2:$H$611,2,FALSE)</f>
        <v>191</v>
      </c>
      <c r="J193">
        <f>VLOOKUP(A193,[1]Datasheet_2!$A$2:$H$611,3,FALSE)</f>
        <v>9.0899999999999995E-2</v>
      </c>
      <c r="K193" s="9">
        <f>VLOOKUP(A193,[1]Datasheet_2!$A$2:$H$611,4,FALSE)</f>
        <v>0.49</v>
      </c>
      <c r="L193" s="8">
        <f>VLOOKUP(A193,[1]Datasheet_2!$A$2:$H$611,5,FALSE)</f>
        <v>0.28360000000000002</v>
      </c>
      <c r="M193" s="8">
        <f>VLOOKUP(A193,[1]Datasheet_2!$A$2:$H$611,6,FALSE)</f>
        <v>0</v>
      </c>
      <c r="N193" s="8">
        <f>VLOOKUP(A193,[1]Datasheet_2!$A$2:$H$611,7,FALSE)</f>
        <v>1</v>
      </c>
      <c r="O193" s="9">
        <f>VLOOKUP(A193,[1]Datasheet_2!$A$2:$H$611,8,FALSE)</f>
        <v>1</v>
      </c>
    </row>
    <row r="194" spans="1:15" x14ac:dyDescent="0.3">
      <c r="A194" s="4">
        <v>193</v>
      </c>
      <c r="B194" s="5">
        <v>40552</v>
      </c>
      <c r="C194" s="4">
        <v>1</v>
      </c>
      <c r="D194" s="4">
        <v>7</v>
      </c>
      <c r="E194" s="4" t="b">
        <v>0</v>
      </c>
      <c r="F194" s="4">
        <v>0</v>
      </c>
      <c r="G194" s="4">
        <v>1</v>
      </c>
      <c r="H194" s="4">
        <v>0.08</v>
      </c>
      <c r="I194">
        <f>VLOOKUP(A194,[1]Datasheet_2!$A$2:$H$611,2,FALSE)</f>
        <v>192</v>
      </c>
      <c r="J194">
        <f>VLOOKUP(A194,[1]Datasheet_2!$A$2:$H$611,3,FALSE)</f>
        <v>9.0899999999999995E-2</v>
      </c>
      <c r="K194" s="9">
        <f>VLOOKUP(A194,[1]Datasheet_2!$A$2:$H$611,4,FALSE)</f>
        <v>0.53</v>
      </c>
      <c r="L194" s="8">
        <f>VLOOKUP(A194,[1]Datasheet_2!$A$2:$H$611,5,FALSE)</f>
        <v>0.19400000000000001</v>
      </c>
      <c r="M194" s="8">
        <f>VLOOKUP(A194,[1]Datasheet_2!$A$2:$H$611,6,FALSE)</f>
        <v>1</v>
      </c>
      <c r="N194" s="8">
        <f>VLOOKUP(A194,[1]Datasheet_2!$A$2:$H$611,7,FALSE)</f>
        <v>5</v>
      </c>
      <c r="O194" s="9">
        <f>VLOOKUP(A194,[1]Datasheet_2!$A$2:$H$611,8,FALSE)</f>
        <v>6</v>
      </c>
    </row>
    <row r="195" spans="1:15" x14ac:dyDescent="0.3">
      <c r="A195" s="4">
        <v>194</v>
      </c>
      <c r="B195" s="5">
        <v>40552</v>
      </c>
      <c r="C195" s="4">
        <v>1</v>
      </c>
      <c r="D195" s="4">
        <v>8</v>
      </c>
      <c r="E195" s="4" t="b">
        <v>0</v>
      </c>
      <c r="F195" s="4">
        <v>0</v>
      </c>
      <c r="G195" s="4">
        <v>1</v>
      </c>
      <c r="H195" s="4">
        <v>0.1</v>
      </c>
      <c r="I195">
        <f>VLOOKUP(A195,[1]Datasheet_2!$A$2:$H$611,2,FALSE)</f>
        <v>193</v>
      </c>
      <c r="J195">
        <f>VLOOKUP(A195,[1]Datasheet_2!$A$2:$H$611,3,FALSE)</f>
        <v>9.0899999999999995E-2</v>
      </c>
      <c r="K195" s="9">
        <f>VLOOKUP(A195,[1]Datasheet_2!$A$2:$H$611,4,FALSE)</f>
        <v>0.49</v>
      </c>
      <c r="L195" s="8">
        <f>VLOOKUP(A195,[1]Datasheet_2!$A$2:$H$611,5,FALSE)</f>
        <v>0.28360000000000002</v>
      </c>
      <c r="M195" s="8">
        <f>VLOOKUP(A195,[1]Datasheet_2!$A$2:$H$611,6,FALSE)</f>
        <v>0</v>
      </c>
      <c r="N195" s="8">
        <f>VLOOKUP(A195,[1]Datasheet_2!$A$2:$H$611,7,FALSE)</f>
        <v>10</v>
      </c>
      <c r="O195" s="9">
        <f>VLOOKUP(A195,[1]Datasheet_2!$A$2:$H$611,8,FALSE)</f>
        <v>10</v>
      </c>
    </row>
    <row r="196" spans="1:15" x14ac:dyDescent="0.3">
      <c r="A196" s="4">
        <v>195</v>
      </c>
      <c r="B196" s="5">
        <v>40552</v>
      </c>
      <c r="C196" s="4">
        <v>1</v>
      </c>
      <c r="D196" s="4">
        <v>9</v>
      </c>
      <c r="E196" s="4" t="b">
        <v>0</v>
      </c>
      <c r="F196" s="4">
        <v>0</v>
      </c>
      <c r="G196" s="4">
        <v>1</v>
      </c>
      <c r="H196" s="4">
        <v>0.12</v>
      </c>
      <c r="I196">
        <f>VLOOKUP(A196,[1]Datasheet_2!$A$2:$H$611,2,FALSE)</f>
        <v>194</v>
      </c>
      <c r="J196">
        <f>VLOOKUP(A196,[1]Datasheet_2!$A$2:$H$611,3,FALSE)</f>
        <v>7.5800000000000006E-2</v>
      </c>
      <c r="K196" s="9">
        <f>VLOOKUP(A196,[1]Datasheet_2!$A$2:$H$611,4,FALSE)</f>
        <v>0.46</v>
      </c>
      <c r="L196" s="8">
        <f>VLOOKUP(A196,[1]Datasheet_2!$A$2:$H$611,5,FALSE)</f>
        <v>0.52239999999999998</v>
      </c>
      <c r="M196" s="8">
        <f>VLOOKUP(A196,[1]Datasheet_2!$A$2:$H$611,6,FALSE)</f>
        <v>0</v>
      </c>
      <c r="N196" s="8">
        <f>VLOOKUP(A196,[1]Datasheet_2!$A$2:$H$611,7,FALSE)</f>
        <v>19</v>
      </c>
      <c r="O196" s="9">
        <f>VLOOKUP(A196,[1]Datasheet_2!$A$2:$H$611,8,FALSE)</f>
        <v>19</v>
      </c>
    </row>
    <row r="197" spans="1:15" x14ac:dyDescent="0.3">
      <c r="A197" s="4">
        <v>196</v>
      </c>
      <c r="B197" s="5">
        <v>40552</v>
      </c>
      <c r="C197" s="4">
        <v>1</v>
      </c>
      <c r="D197" s="4">
        <v>10</v>
      </c>
      <c r="E197" s="4" t="b">
        <v>0</v>
      </c>
      <c r="F197" s="4">
        <v>0</v>
      </c>
      <c r="G197" s="4">
        <v>1</v>
      </c>
      <c r="H197" s="4">
        <v>0.14000000000000001</v>
      </c>
      <c r="I197">
        <f>VLOOKUP(A197,[1]Datasheet_2!$A$2:$H$611,2,FALSE)</f>
        <v>195</v>
      </c>
      <c r="J197">
        <f>VLOOKUP(A197,[1]Datasheet_2!$A$2:$H$611,3,FALSE)</f>
        <v>0.1061</v>
      </c>
      <c r="K197" s="9">
        <f>VLOOKUP(A197,[1]Datasheet_2!$A$2:$H$611,4,FALSE)</f>
        <v>0.43</v>
      </c>
      <c r="L197" s="8">
        <f>VLOOKUP(A197,[1]Datasheet_2!$A$2:$H$611,5,FALSE)</f>
        <v>0.3881</v>
      </c>
      <c r="M197" s="8">
        <f>VLOOKUP(A197,[1]Datasheet_2!$A$2:$H$611,6,FALSE)</f>
        <v>0</v>
      </c>
      <c r="N197" s="8">
        <f>VLOOKUP(A197,[1]Datasheet_2!$A$2:$H$611,7,FALSE)</f>
        <v>49</v>
      </c>
      <c r="O197" s="9">
        <f>VLOOKUP(A197,[1]Datasheet_2!$A$2:$H$611,8,FALSE)</f>
        <v>49</v>
      </c>
    </row>
    <row r="198" spans="1:15" x14ac:dyDescent="0.3">
      <c r="A198" s="4">
        <v>197</v>
      </c>
      <c r="B198" s="5">
        <v>40552</v>
      </c>
      <c r="C198" s="4">
        <v>1</v>
      </c>
      <c r="D198" s="4">
        <v>11</v>
      </c>
      <c r="E198" s="4" t="b">
        <v>0</v>
      </c>
      <c r="F198" s="4">
        <v>0</v>
      </c>
      <c r="G198" s="4">
        <v>1</v>
      </c>
      <c r="H198" s="4">
        <v>0.16</v>
      </c>
      <c r="I198">
        <f>VLOOKUP(A198,[1]Datasheet_2!$A$2:$H$611,2,FALSE)</f>
        <v>196</v>
      </c>
      <c r="J198">
        <f>VLOOKUP(A198,[1]Datasheet_2!$A$2:$H$611,3,FALSE)</f>
        <v>0.1212</v>
      </c>
      <c r="K198" s="9">
        <f>VLOOKUP(A198,[1]Datasheet_2!$A$2:$H$611,4,FALSE)</f>
        <v>0.4</v>
      </c>
      <c r="L198" s="8">
        <f>VLOOKUP(A198,[1]Datasheet_2!$A$2:$H$611,5,FALSE)</f>
        <v>0.52239999999999998</v>
      </c>
      <c r="M198" s="8">
        <f>VLOOKUP(A198,[1]Datasheet_2!$A$2:$H$611,6,FALSE)</f>
        <v>2</v>
      </c>
      <c r="N198" s="8">
        <f>VLOOKUP(A198,[1]Datasheet_2!$A$2:$H$611,7,FALSE)</f>
        <v>47</v>
      </c>
      <c r="O198" s="9">
        <f>VLOOKUP(A198,[1]Datasheet_2!$A$2:$H$611,8,FALSE)</f>
        <v>49</v>
      </c>
    </row>
    <row r="199" spans="1:15" x14ac:dyDescent="0.3">
      <c r="A199" s="4">
        <v>198</v>
      </c>
      <c r="B199" s="5">
        <v>40552</v>
      </c>
      <c r="C199" s="4">
        <v>1</v>
      </c>
      <c r="D199" s="4">
        <v>12</v>
      </c>
      <c r="E199" s="4" t="b">
        <v>0</v>
      </c>
      <c r="F199" s="4">
        <v>0</v>
      </c>
      <c r="G199" s="4">
        <v>1</v>
      </c>
      <c r="H199" s="4">
        <v>0.18</v>
      </c>
      <c r="I199">
        <f>VLOOKUP(A199,[1]Datasheet_2!$A$2:$H$611,2,FALSE)</f>
        <v>197</v>
      </c>
      <c r="J199">
        <f>VLOOKUP(A199,[1]Datasheet_2!$A$2:$H$611,3,FALSE)</f>
        <v>0.13639999999999999</v>
      </c>
      <c r="K199" s="9">
        <f>VLOOKUP(A199,[1]Datasheet_2!$A$2:$H$611,4,FALSE)</f>
        <v>0.37</v>
      </c>
      <c r="L199" s="8">
        <f>VLOOKUP(A199,[1]Datasheet_2!$A$2:$H$611,5,FALSE)</f>
        <v>0.44779999999999998</v>
      </c>
      <c r="M199" s="8">
        <f>VLOOKUP(A199,[1]Datasheet_2!$A$2:$H$611,6,FALSE)</f>
        <v>4</v>
      </c>
      <c r="N199" s="8">
        <f>VLOOKUP(A199,[1]Datasheet_2!$A$2:$H$611,7,FALSE)</f>
        <v>79</v>
      </c>
      <c r="O199" s="9">
        <f>VLOOKUP(A199,[1]Datasheet_2!$A$2:$H$611,8,FALSE)</f>
        <v>83</v>
      </c>
    </row>
    <row r="200" spans="1:15" x14ac:dyDescent="0.3">
      <c r="A200" s="4">
        <v>199</v>
      </c>
      <c r="B200" s="5">
        <v>40552</v>
      </c>
      <c r="C200" s="4">
        <v>1</v>
      </c>
      <c r="D200" s="4">
        <v>13</v>
      </c>
      <c r="E200" s="4" t="b">
        <v>0</v>
      </c>
      <c r="F200" s="4">
        <v>0</v>
      </c>
      <c r="G200" s="4">
        <v>1</v>
      </c>
      <c r="H200" s="4">
        <v>0.2</v>
      </c>
      <c r="I200">
        <f>VLOOKUP(A200,[1]Datasheet_2!$A$2:$H$611,2,FALSE)</f>
        <v>198</v>
      </c>
      <c r="J200">
        <f>VLOOKUP(A200,[1]Datasheet_2!$A$2:$H$611,3,FALSE)</f>
        <v>0.16669999999999999</v>
      </c>
      <c r="K200" s="9">
        <f>VLOOKUP(A200,[1]Datasheet_2!$A$2:$H$611,4,FALSE)</f>
        <v>0.34</v>
      </c>
      <c r="L200" s="8">
        <f>VLOOKUP(A200,[1]Datasheet_2!$A$2:$H$611,5,FALSE)</f>
        <v>0.44779999999999998</v>
      </c>
      <c r="M200" s="8">
        <f>VLOOKUP(A200,[1]Datasheet_2!$A$2:$H$611,6,FALSE)</f>
        <v>6</v>
      </c>
      <c r="N200" s="8">
        <f>VLOOKUP(A200,[1]Datasheet_2!$A$2:$H$611,7,FALSE)</f>
        <v>69</v>
      </c>
      <c r="O200" s="9">
        <f>VLOOKUP(A200,[1]Datasheet_2!$A$2:$H$611,8,FALSE)</f>
        <v>75</v>
      </c>
    </row>
    <row r="201" spans="1:15" x14ac:dyDescent="0.3">
      <c r="A201" s="4">
        <v>200</v>
      </c>
      <c r="B201" s="5">
        <v>40552</v>
      </c>
      <c r="C201" s="4">
        <v>1</v>
      </c>
      <c r="D201" s="4">
        <v>14</v>
      </c>
      <c r="E201" s="4" t="b">
        <v>0</v>
      </c>
      <c r="F201" s="4">
        <v>0</v>
      </c>
      <c r="G201" s="4">
        <v>1</v>
      </c>
      <c r="H201" s="4">
        <v>0.22</v>
      </c>
      <c r="I201">
        <f>VLOOKUP(A201,[1]Datasheet_2!$A$2:$H$611,2,FALSE)</f>
        <v>199</v>
      </c>
      <c r="J201">
        <f>VLOOKUP(A201,[1]Datasheet_2!$A$2:$H$611,3,FALSE)</f>
        <v>0.18179999999999999</v>
      </c>
      <c r="K201" s="9">
        <f>VLOOKUP(A201,[1]Datasheet_2!$A$2:$H$611,4,FALSE)</f>
        <v>0.32</v>
      </c>
      <c r="L201" s="8">
        <f>VLOOKUP(A201,[1]Datasheet_2!$A$2:$H$611,5,FALSE)</f>
        <v>0.4627</v>
      </c>
      <c r="M201" s="8">
        <f>VLOOKUP(A201,[1]Datasheet_2!$A$2:$H$611,6,FALSE)</f>
        <v>8</v>
      </c>
      <c r="N201" s="8">
        <f>VLOOKUP(A201,[1]Datasheet_2!$A$2:$H$611,7,FALSE)</f>
        <v>64</v>
      </c>
      <c r="O201" s="9">
        <f>VLOOKUP(A201,[1]Datasheet_2!$A$2:$H$611,8,FALSE)</f>
        <v>72</v>
      </c>
    </row>
    <row r="202" spans="1:15" x14ac:dyDescent="0.3">
      <c r="A202" s="4">
        <v>201</v>
      </c>
      <c r="B202" s="5">
        <v>40552</v>
      </c>
      <c r="C202" s="4">
        <v>1</v>
      </c>
      <c r="D202" s="4">
        <v>15</v>
      </c>
      <c r="E202" s="4" t="b">
        <v>0</v>
      </c>
      <c r="F202" s="4">
        <v>0</v>
      </c>
      <c r="G202" s="4">
        <v>1</v>
      </c>
      <c r="H202" s="4">
        <v>0.22</v>
      </c>
      <c r="I202">
        <f>VLOOKUP(A202,[1]Datasheet_2!$A$2:$H$611,2,FALSE)</f>
        <v>200</v>
      </c>
      <c r="J202">
        <f>VLOOKUP(A202,[1]Datasheet_2!$A$2:$H$611,3,FALSE)</f>
        <v>0.19700000000000001</v>
      </c>
      <c r="K202" s="9">
        <f>VLOOKUP(A202,[1]Datasheet_2!$A$2:$H$611,4,FALSE)</f>
        <v>0.35</v>
      </c>
      <c r="L202" s="8">
        <f>VLOOKUP(A202,[1]Datasheet_2!$A$2:$H$611,5,FALSE)</f>
        <v>0.35820000000000002</v>
      </c>
      <c r="M202" s="8">
        <f>VLOOKUP(A202,[1]Datasheet_2!$A$2:$H$611,6,FALSE)</f>
        <v>5</v>
      </c>
      <c r="N202" s="8">
        <f>VLOOKUP(A202,[1]Datasheet_2!$A$2:$H$611,7,FALSE)</f>
        <v>77</v>
      </c>
      <c r="O202" s="9">
        <f>VLOOKUP(A202,[1]Datasheet_2!$A$2:$H$611,8,FALSE)</f>
        <v>82</v>
      </c>
    </row>
    <row r="203" spans="1:15" x14ac:dyDescent="0.3">
      <c r="A203" s="4">
        <v>202</v>
      </c>
      <c r="B203" s="5">
        <v>40552</v>
      </c>
      <c r="C203" s="4">
        <v>1</v>
      </c>
      <c r="D203" s="4">
        <v>16</v>
      </c>
      <c r="E203" s="4" t="b">
        <v>0</v>
      </c>
      <c r="F203" s="4">
        <v>0</v>
      </c>
      <c r="G203" s="4">
        <v>1</v>
      </c>
      <c r="H203" s="4">
        <v>0.2</v>
      </c>
      <c r="I203">
        <f>VLOOKUP(A203,[1]Datasheet_2!$A$2:$H$611,2,FALSE)</f>
        <v>201</v>
      </c>
      <c r="J203">
        <f>VLOOKUP(A203,[1]Datasheet_2!$A$2:$H$611,3,FALSE)</f>
        <v>0.16669999999999999</v>
      </c>
      <c r="K203" s="9">
        <f>VLOOKUP(A203,[1]Datasheet_2!$A$2:$H$611,4,FALSE)</f>
        <v>0.34</v>
      </c>
      <c r="L203" s="8">
        <f>VLOOKUP(A203,[1]Datasheet_2!$A$2:$H$611,5,FALSE)</f>
        <v>0.44779999999999998</v>
      </c>
      <c r="M203" s="8">
        <f>VLOOKUP(A203,[1]Datasheet_2!$A$2:$H$611,6,FALSE)</f>
        <v>13</v>
      </c>
      <c r="N203" s="8">
        <f>VLOOKUP(A203,[1]Datasheet_2!$A$2:$H$611,7,FALSE)</f>
        <v>79</v>
      </c>
      <c r="O203" s="9">
        <f>VLOOKUP(A203,[1]Datasheet_2!$A$2:$H$611,8,FALSE)</f>
        <v>92</v>
      </c>
    </row>
    <row r="204" spans="1:15" x14ac:dyDescent="0.3">
      <c r="A204" s="4">
        <v>203</v>
      </c>
      <c r="B204" s="5">
        <v>40552</v>
      </c>
      <c r="C204" s="4">
        <v>1</v>
      </c>
      <c r="D204" s="4">
        <v>17</v>
      </c>
      <c r="E204" s="4" t="b">
        <v>0</v>
      </c>
      <c r="F204" s="4">
        <v>0</v>
      </c>
      <c r="G204" s="4">
        <v>1</v>
      </c>
      <c r="H204" s="4">
        <v>0.18</v>
      </c>
      <c r="I204">
        <f>VLOOKUP(A204,[1]Datasheet_2!$A$2:$H$611,2,FALSE)</f>
        <v>202</v>
      </c>
      <c r="J204">
        <f>VLOOKUP(A204,[1]Datasheet_2!$A$2:$H$611,3,FALSE)</f>
        <v>0.1515</v>
      </c>
      <c r="K204" s="9">
        <f>VLOOKUP(A204,[1]Datasheet_2!$A$2:$H$611,4,FALSE)</f>
        <v>0.37</v>
      </c>
      <c r="L204" s="8">
        <f>VLOOKUP(A204,[1]Datasheet_2!$A$2:$H$611,5,FALSE)</f>
        <v>0.3881</v>
      </c>
      <c r="M204" s="8">
        <f>VLOOKUP(A204,[1]Datasheet_2!$A$2:$H$611,6,FALSE)</f>
        <v>3</v>
      </c>
      <c r="N204" s="8">
        <f>VLOOKUP(A204,[1]Datasheet_2!$A$2:$H$611,7,FALSE)</f>
        <v>59</v>
      </c>
      <c r="O204" s="9">
        <f>VLOOKUP(A204,[1]Datasheet_2!$A$2:$H$611,8,FALSE)</f>
        <v>62</v>
      </c>
    </row>
    <row r="205" spans="1:15" x14ac:dyDescent="0.3">
      <c r="A205" s="4">
        <v>204</v>
      </c>
      <c r="B205" s="5">
        <v>40552</v>
      </c>
      <c r="C205" s="4">
        <v>1</v>
      </c>
      <c r="D205" s="4">
        <v>18</v>
      </c>
      <c r="E205" s="4" t="b">
        <v>0</v>
      </c>
      <c r="F205" s="4">
        <v>0</v>
      </c>
      <c r="G205" s="4">
        <v>1</v>
      </c>
      <c r="H205" s="4">
        <v>0.16</v>
      </c>
      <c r="I205">
        <f>VLOOKUP(A205,[1]Datasheet_2!$A$2:$H$611,2,FALSE)</f>
        <v>203</v>
      </c>
      <c r="J205">
        <f>VLOOKUP(A205,[1]Datasheet_2!$A$2:$H$611,3,FALSE)</f>
        <v>0.13639999999999999</v>
      </c>
      <c r="K205" s="9">
        <f>VLOOKUP(A205,[1]Datasheet_2!$A$2:$H$611,4,FALSE)</f>
        <v>0.4</v>
      </c>
      <c r="L205" s="8">
        <f>VLOOKUP(A205,[1]Datasheet_2!$A$2:$H$611,5,FALSE)</f>
        <v>0.32840000000000003</v>
      </c>
      <c r="M205" s="8">
        <f>VLOOKUP(A205,[1]Datasheet_2!$A$2:$H$611,6,FALSE)</f>
        <v>4</v>
      </c>
      <c r="N205" s="8">
        <f>VLOOKUP(A205,[1]Datasheet_2!$A$2:$H$611,7,FALSE)</f>
        <v>44</v>
      </c>
      <c r="O205" s="9">
        <f>VLOOKUP(A205,[1]Datasheet_2!$A$2:$H$611,8,FALSE)</f>
        <v>48</v>
      </c>
    </row>
    <row r="206" spans="1:15" x14ac:dyDescent="0.3">
      <c r="A206" s="4">
        <v>205</v>
      </c>
      <c r="B206" s="5">
        <v>40552</v>
      </c>
      <c r="C206" s="4">
        <v>1</v>
      </c>
      <c r="D206" s="4">
        <v>19</v>
      </c>
      <c r="E206" s="4" t="b">
        <v>0</v>
      </c>
      <c r="F206" s="4">
        <v>0</v>
      </c>
      <c r="G206" s="4">
        <v>1</v>
      </c>
      <c r="H206" s="4">
        <v>0.16</v>
      </c>
      <c r="I206">
        <f>VLOOKUP(A206,[1]Datasheet_2!$A$2:$H$611,2,FALSE)</f>
        <v>204</v>
      </c>
      <c r="J206">
        <f>VLOOKUP(A206,[1]Datasheet_2!$A$2:$H$611,3,FALSE)</f>
        <v>0.13639999999999999</v>
      </c>
      <c r="K206" s="9">
        <f>VLOOKUP(A206,[1]Datasheet_2!$A$2:$H$611,4,FALSE)</f>
        <v>0.43</v>
      </c>
      <c r="L206" s="8">
        <f>VLOOKUP(A206,[1]Datasheet_2!$A$2:$H$611,5,FALSE)</f>
        <v>0.32840000000000003</v>
      </c>
      <c r="M206" s="8">
        <f>VLOOKUP(A206,[1]Datasheet_2!$A$2:$H$611,6,FALSE)</f>
        <v>1</v>
      </c>
      <c r="N206" s="8">
        <f>VLOOKUP(A206,[1]Datasheet_2!$A$2:$H$611,7,FALSE)</f>
        <v>40</v>
      </c>
      <c r="O206" s="9">
        <f>VLOOKUP(A206,[1]Datasheet_2!$A$2:$H$611,8,FALSE)</f>
        <v>41</v>
      </c>
    </row>
    <row r="207" spans="1:15" x14ac:dyDescent="0.3">
      <c r="A207" s="4">
        <v>206</v>
      </c>
      <c r="B207" s="5">
        <v>40552</v>
      </c>
      <c r="C207" s="4">
        <v>1</v>
      </c>
      <c r="D207" s="4">
        <v>20</v>
      </c>
      <c r="E207" s="4" t="b">
        <v>0</v>
      </c>
      <c r="F207" s="4">
        <v>0</v>
      </c>
      <c r="G207" s="4">
        <v>1</v>
      </c>
      <c r="H207" s="4">
        <v>0.14000000000000001</v>
      </c>
      <c r="I207">
        <f>VLOOKUP(A207,[1]Datasheet_2!$A$2:$H$611,2,FALSE)</f>
        <v>205</v>
      </c>
      <c r="J207">
        <f>VLOOKUP(A207,[1]Datasheet_2!$A$2:$H$611,3,FALSE)</f>
        <v>0.1212</v>
      </c>
      <c r="K207" s="9">
        <f>VLOOKUP(A207,[1]Datasheet_2!$A$2:$H$611,4,FALSE)</f>
        <v>0.46</v>
      </c>
      <c r="L207" s="8">
        <f>VLOOKUP(A207,[1]Datasheet_2!$A$2:$H$611,5,FALSE)</f>
        <v>0.25369999999999998</v>
      </c>
      <c r="M207" s="8">
        <f>VLOOKUP(A207,[1]Datasheet_2!$A$2:$H$611,6,FALSE)</f>
        <v>0</v>
      </c>
      <c r="N207" s="8">
        <f>VLOOKUP(A207,[1]Datasheet_2!$A$2:$H$611,7,FALSE)</f>
        <v>38</v>
      </c>
      <c r="O207" s="9">
        <f>VLOOKUP(A207,[1]Datasheet_2!$A$2:$H$611,8,FALSE)</f>
        <v>38</v>
      </c>
    </row>
    <row r="208" spans="1:15" x14ac:dyDescent="0.3">
      <c r="A208" s="4">
        <v>207</v>
      </c>
      <c r="B208" s="5">
        <v>40552</v>
      </c>
      <c r="C208" s="4">
        <v>1</v>
      </c>
      <c r="D208" s="4">
        <v>21</v>
      </c>
      <c r="E208" s="4" t="b">
        <v>0</v>
      </c>
      <c r="F208" s="4">
        <v>0</v>
      </c>
      <c r="G208" s="4">
        <v>1</v>
      </c>
      <c r="H208" s="4">
        <v>0.14000000000000001</v>
      </c>
      <c r="I208">
        <f>VLOOKUP(A208,[1]Datasheet_2!$A$2:$H$611,2,FALSE)</f>
        <v>206</v>
      </c>
      <c r="J208">
        <f>VLOOKUP(A208,[1]Datasheet_2!$A$2:$H$611,3,FALSE)</f>
        <v>0.1061</v>
      </c>
      <c r="K208" s="9">
        <f>VLOOKUP(A208,[1]Datasheet_2!$A$2:$H$611,4,FALSE)</f>
        <v>0.46</v>
      </c>
      <c r="L208" s="8">
        <f>VLOOKUP(A208,[1]Datasheet_2!$A$2:$H$611,5,FALSE)</f>
        <v>0.41789999999999999</v>
      </c>
      <c r="M208" s="8">
        <f>VLOOKUP(A208,[1]Datasheet_2!$A$2:$H$611,6,FALSE)</f>
        <v>1</v>
      </c>
      <c r="N208" s="8">
        <f>VLOOKUP(A208,[1]Datasheet_2!$A$2:$H$611,7,FALSE)</f>
        <v>19</v>
      </c>
      <c r="O208" s="9">
        <f>VLOOKUP(A208,[1]Datasheet_2!$A$2:$H$611,8,FALSE)</f>
        <v>20</v>
      </c>
    </row>
    <row r="209" spans="1:15" x14ac:dyDescent="0.3">
      <c r="A209" s="4">
        <v>208</v>
      </c>
      <c r="B209" s="5">
        <v>40552</v>
      </c>
      <c r="C209" s="4">
        <v>1</v>
      </c>
      <c r="D209" s="4">
        <v>22</v>
      </c>
      <c r="E209" s="4" t="b">
        <v>0</v>
      </c>
      <c r="F209" s="4">
        <v>0</v>
      </c>
      <c r="G209" s="4">
        <v>1</v>
      </c>
      <c r="H209" s="4">
        <v>0.14000000000000001</v>
      </c>
      <c r="I209">
        <f>VLOOKUP(A209,[1]Datasheet_2!$A$2:$H$611,2,FALSE)</f>
        <v>207</v>
      </c>
      <c r="J209">
        <f>VLOOKUP(A209,[1]Datasheet_2!$A$2:$H$611,3,FALSE)</f>
        <v>0.1212</v>
      </c>
      <c r="K209" s="9">
        <f>VLOOKUP(A209,[1]Datasheet_2!$A$2:$H$611,4,FALSE)</f>
        <v>0.46</v>
      </c>
      <c r="L209" s="8">
        <f>VLOOKUP(A209,[1]Datasheet_2!$A$2:$H$611,5,FALSE)</f>
        <v>0.29849999999999999</v>
      </c>
      <c r="M209" s="8">
        <f>VLOOKUP(A209,[1]Datasheet_2!$A$2:$H$611,6,FALSE)</f>
        <v>5</v>
      </c>
      <c r="N209" s="8">
        <f>VLOOKUP(A209,[1]Datasheet_2!$A$2:$H$611,7,FALSE)</f>
        <v>10</v>
      </c>
      <c r="O209" s="9">
        <f>VLOOKUP(A209,[1]Datasheet_2!$A$2:$H$611,8,FALSE)</f>
        <v>15</v>
      </c>
    </row>
    <row r="210" spans="1:15" x14ac:dyDescent="0.3">
      <c r="A210" s="4">
        <v>209</v>
      </c>
      <c r="B210" s="5">
        <v>40552</v>
      </c>
      <c r="C210" s="4">
        <v>1</v>
      </c>
      <c r="D210" s="4">
        <v>23</v>
      </c>
      <c r="E210" s="4" t="b">
        <v>0</v>
      </c>
      <c r="F210" s="4">
        <v>0</v>
      </c>
      <c r="G210" s="4">
        <v>1</v>
      </c>
      <c r="H210" s="4">
        <v>0.12</v>
      </c>
      <c r="I210">
        <f>VLOOKUP(A210,[1]Datasheet_2!$A$2:$H$611,2,FALSE)</f>
        <v>208</v>
      </c>
      <c r="J210">
        <f>VLOOKUP(A210,[1]Datasheet_2!$A$2:$H$611,3,FALSE)</f>
        <v>0.13639999999999999</v>
      </c>
      <c r="K210" s="9">
        <f>VLOOKUP(A210,[1]Datasheet_2!$A$2:$H$611,4,FALSE)</f>
        <v>0.5</v>
      </c>
      <c r="L210" s="8">
        <f>VLOOKUP(A210,[1]Datasheet_2!$A$2:$H$611,5,FALSE)</f>
        <v>0.19400000000000001</v>
      </c>
      <c r="M210" s="8">
        <f>VLOOKUP(A210,[1]Datasheet_2!$A$2:$H$611,6,FALSE)</f>
        <v>0</v>
      </c>
      <c r="N210" s="8">
        <f>VLOOKUP(A210,[1]Datasheet_2!$A$2:$H$611,7,FALSE)</f>
        <v>6</v>
      </c>
      <c r="O210" s="9">
        <f>VLOOKUP(A210,[1]Datasheet_2!$A$2:$H$611,8,FALSE)</f>
        <v>6</v>
      </c>
    </row>
    <row r="211" spans="1:15" x14ac:dyDescent="0.3">
      <c r="A211" s="4">
        <v>210</v>
      </c>
      <c r="B211" s="5">
        <v>40553</v>
      </c>
      <c r="C211" s="4">
        <v>1</v>
      </c>
      <c r="D211" s="4">
        <v>0</v>
      </c>
      <c r="E211" s="4" t="b">
        <v>0</v>
      </c>
      <c r="F211" s="4">
        <v>1</v>
      </c>
      <c r="G211" s="4">
        <v>1</v>
      </c>
      <c r="H211" s="4">
        <v>0.12</v>
      </c>
      <c r="I211">
        <f>VLOOKUP(A211,[1]Datasheet_2!$A$2:$H$611,2,FALSE)</f>
        <v>209</v>
      </c>
      <c r="J211">
        <f>VLOOKUP(A211,[1]Datasheet_2!$A$2:$H$611,3,FALSE)</f>
        <v>0.1212</v>
      </c>
      <c r="K211" s="9">
        <f>VLOOKUP(A211,[1]Datasheet_2!$A$2:$H$611,4,FALSE)</f>
        <v>0.5</v>
      </c>
      <c r="L211" s="8">
        <f>VLOOKUP(A211,[1]Datasheet_2!$A$2:$H$611,5,FALSE)</f>
        <v>0.28360000000000002</v>
      </c>
      <c r="M211" s="8">
        <f>VLOOKUP(A211,[1]Datasheet_2!$A$2:$H$611,6,FALSE)</f>
        <v>2</v>
      </c>
      <c r="N211" s="8">
        <f>VLOOKUP(A211,[1]Datasheet_2!$A$2:$H$611,7,FALSE)</f>
        <v>3</v>
      </c>
      <c r="O211" s="9">
        <f>VLOOKUP(A211,[1]Datasheet_2!$A$2:$H$611,8,FALSE)</f>
        <v>5</v>
      </c>
    </row>
    <row r="212" spans="1:15" x14ac:dyDescent="0.3">
      <c r="A212" s="4">
        <v>211</v>
      </c>
      <c r="B212" s="5">
        <v>40553</v>
      </c>
      <c r="C212" s="4">
        <v>1</v>
      </c>
      <c r="D212" s="4">
        <v>1</v>
      </c>
      <c r="E212" s="4" t="b">
        <v>0</v>
      </c>
      <c r="F212" s="4">
        <v>1</v>
      </c>
      <c r="G212" s="4">
        <v>1</v>
      </c>
      <c r="H212" s="4">
        <v>0.12</v>
      </c>
      <c r="I212">
        <f>VLOOKUP(A212,[1]Datasheet_2!$A$2:$H$611,2,FALSE)</f>
        <v>210</v>
      </c>
      <c r="J212">
        <f>VLOOKUP(A212,[1]Datasheet_2!$A$2:$H$611,3,FALSE)</f>
        <v>0.1212</v>
      </c>
      <c r="K212" s="9">
        <f>VLOOKUP(A212,[1]Datasheet_2!$A$2:$H$611,4,FALSE)</f>
        <v>0.5</v>
      </c>
      <c r="L212" s="8">
        <f>VLOOKUP(A212,[1]Datasheet_2!$A$2:$H$611,5,FALSE)</f>
        <v>0.28360000000000002</v>
      </c>
      <c r="M212" s="8">
        <f>VLOOKUP(A212,[1]Datasheet_2!$A$2:$H$611,6,FALSE)</f>
        <v>1</v>
      </c>
      <c r="N212" s="8">
        <f>VLOOKUP(A212,[1]Datasheet_2!$A$2:$H$611,7,FALSE)</f>
        <v>0</v>
      </c>
      <c r="O212" s="9">
        <f>VLOOKUP(A212,[1]Datasheet_2!$A$2:$H$611,8,FALSE)</f>
        <v>1</v>
      </c>
    </row>
    <row r="213" spans="1:15" x14ac:dyDescent="0.3">
      <c r="A213" s="4">
        <v>212</v>
      </c>
      <c r="B213" s="5">
        <v>40553</v>
      </c>
      <c r="C213" s="4">
        <v>1</v>
      </c>
      <c r="D213" s="4">
        <v>2</v>
      </c>
      <c r="E213" s="4" t="b">
        <v>0</v>
      </c>
      <c r="F213" s="4">
        <v>1</v>
      </c>
      <c r="G213" s="4">
        <v>1</v>
      </c>
      <c r="H213" s="4">
        <v>0.12</v>
      </c>
      <c r="I213">
        <f>VLOOKUP(A213,[1]Datasheet_2!$A$2:$H$611,2,FALSE)</f>
        <v>211</v>
      </c>
      <c r="J213">
        <f>VLOOKUP(A213,[1]Datasheet_2!$A$2:$H$611,3,FALSE)</f>
        <v>0.1212</v>
      </c>
      <c r="K213" s="9">
        <f>VLOOKUP(A213,[1]Datasheet_2!$A$2:$H$611,4,FALSE)</f>
        <v>0.5</v>
      </c>
      <c r="L213" s="8">
        <f>VLOOKUP(A213,[1]Datasheet_2!$A$2:$H$611,5,FALSE)</f>
        <v>0.22389999999999999</v>
      </c>
      <c r="M213" s="8">
        <f>VLOOKUP(A213,[1]Datasheet_2!$A$2:$H$611,6,FALSE)</f>
        <v>0</v>
      </c>
      <c r="N213" s="8">
        <f>VLOOKUP(A213,[1]Datasheet_2!$A$2:$H$611,7,FALSE)</f>
        <v>3</v>
      </c>
      <c r="O213" s="9">
        <f>VLOOKUP(A213,[1]Datasheet_2!$A$2:$H$611,8,FALSE)</f>
        <v>3</v>
      </c>
    </row>
    <row r="214" spans="1:15" x14ac:dyDescent="0.3">
      <c r="A214" s="4">
        <v>213</v>
      </c>
      <c r="B214" s="5">
        <v>40553</v>
      </c>
      <c r="C214" s="4">
        <v>1</v>
      </c>
      <c r="D214" s="4">
        <v>3</v>
      </c>
      <c r="E214" s="4" t="b">
        <v>0</v>
      </c>
      <c r="F214" s="4">
        <v>1</v>
      </c>
      <c r="G214" s="4">
        <v>1</v>
      </c>
      <c r="H214" s="4">
        <v>0.12</v>
      </c>
      <c r="I214">
        <f>VLOOKUP(A214,[1]Datasheet_2!$A$2:$H$611,2,FALSE)</f>
        <v>212</v>
      </c>
      <c r="J214">
        <f>VLOOKUP(A214,[1]Datasheet_2!$A$2:$H$611,3,FALSE)</f>
        <v>0.1212</v>
      </c>
      <c r="K214" s="9">
        <f>VLOOKUP(A214,[1]Datasheet_2!$A$2:$H$611,4,FALSE)</f>
        <v>0.5</v>
      </c>
      <c r="L214" s="8">
        <f>VLOOKUP(A214,[1]Datasheet_2!$A$2:$H$611,5,FALSE)</f>
        <v>0.22389999999999999</v>
      </c>
      <c r="M214" s="8">
        <f>VLOOKUP(A214,[1]Datasheet_2!$A$2:$H$611,6,FALSE)</f>
        <v>0</v>
      </c>
      <c r="N214" s="8">
        <f>VLOOKUP(A214,[1]Datasheet_2!$A$2:$H$611,7,FALSE)</f>
        <v>1</v>
      </c>
      <c r="O214" s="9">
        <f>VLOOKUP(A214,[1]Datasheet_2!$A$2:$H$611,8,FALSE)</f>
        <v>1</v>
      </c>
    </row>
    <row r="215" spans="1:15" x14ac:dyDescent="0.3">
      <c r="A215" s="4">
        <v>214</v>
      </c>
      <c r="B215" s="5">
        <v>40553</v>
      </c>
      <c r="C215" s="4">
        <v>1</v>
      </c>
      <c r="D215" s="4">
        <v>4</v>
      </c>
      <c r="E215" s="4" t="b">
        <v>0</v>
      </c>
      <c r="F215" s="4">
        <v>1</v>
      </c>
      <c r="G215" s="4">
        <v>1</v>
      </c>
      <c r="H215" s="4">
        <v>0.1</v>
      </c>
      <c r="I215">
        <f>VLOOKUP(A215,[1]Datasheet_2!$A$2:$H$611,2,FALSE)</f>
        <v>213</v>
      </c>
      <c r="J215">
        <f>VLOOKUP(A215,[1]Datasheet_2!$A$2:$H$611,3,FALSE)</f>
        <v>0.1212</v>
      </c>
      <c r="K215" s="9">
        <f>VLOOKUP(A215,[1]Datasheet_2!$A$2:$H$611,4,FALSE)</f>
        <v>0.54</v>
      </c>
      <c r="L215" s="8">
        <f>VLOOKUP(A215,[1]Datasheet_2!$A$2:$H$611,5,FALSE)</f>
        <v>0.1343</v>
      </c>
      <c r="M215" s="8">
        <f>VLOOKUP(A215,[1]Datasheet_2!$A$2:$H$611,6,FALSE)</f>
        <v>1</v>
      </c>
      <c r="N215" s="8">
        <f>VLOOKUP(A215,[1]Datasheet_2!$A$2:$H$611,7,FALSE)</f>
        <v>2</v>
      </c>
      <c r="O215" s="9">
        <f>VLOOKUP(A215,[1]Datasheet_2!$A$2:$H$611,8,FALSE)</f>
        <v>3</v>
      </c>
    </row>
    <row r="216" spans="1:15" x14ac:dyDescent="0.3">
      <c r="A216" s="4">
        <v>215</v>
      </c>
      <c r="B216" s="5">
        <v>40553</v>
      </c>
      <c r="C216" s="4">
        <v>1</v>
      </c>
      <c r="D216" s="4">
        <v>5</v>
      </c>
      <c r="E216" s="4" t="b">
        <v>0</v>
      </c>
      <c r="F216" s="4">
        <v>1</v>
      </c>
      <c r="G216" s="4">
        <v>1</v>
      </c>
      <c r="H216" s="4">
        <v>0.1</v>
      </c>
      <c r="I216">
        <f>VLOOKUP(A216,[1]Datasheet_2!$A$2:$H$611,2,FALSE)</f>
        <v>214</v>
      </c>
      <c r="J216">
        <f>VLOOKUP(A216,[1]Datasheet_2!$A$2:$H$611,3,FALSE)</f>
        <v>0.1061</v>
      </c>
      <c r="K216" s="9">
        <f>VLOOKUP(A216,[1]Datasheet_2!$A$2:$H$611,4,FALSE)</f>
        <v>0.54</v>
      </c>
      <c r="L216" s="8">
        <f>VLOOKUP(A216,[1]Datasheet_2!$A$2:$H$611,5,FALSE)</f>
        <v>0.25369999999999998</v>
      </c>
      <c r="M216" s="8">
        <f>VLOOKUP(A216,[1]Datasheet_2!$A$2:$H$611,6,FALSE)</f>
        <v>0</v>
      </c>
      <c r="N216" s="8">
        <f>VLOOKUP(A216,[1]Datasheet_2!$A$2:$H$611,7,FALSE)</f>
        <v>3</v>
      </c>
      <c r="O216" s="9">
        <f>VLOOKUP(A216,[1]Datasheet_2!$A$2:$H$611,8,FALSE)</f>
        <v>3</v>
      </c>
    </row>
    <row r="217" spans="1:15" x14ac:dyDescent="0.3">
      <c r="A217" s="4">
        <v>216</v>
      </c>
      <c r="B217" s="5">
        <v>40553</v>
      </c>
      <c r="C217" s="4">
        <v>1</v>
      </c>
      <c r="D217" s="4">
        <v>6</v>
      </c>
      <c r="E217" s="4" t="b">
        <v>0</v>
      </c>
      <c r="F217" s="4">
        <v>1</v>
      </c>
      <c r="G217" s="4">
        <v>1</v>
      </c>
      <c r="H217" s="4">
        <v>0.12</v>
      </c>
      <c r="I217">
        <f>VLOOKUP(A217,[1]Datasheet_2!$A$2:$H$611,2,FALSE)</f>
        <v>215</v>
      </c>
      <c r="J217">
        <f>VLOOKUP(A217,[1]Datasheet_2!$A$2:$H$611,3,FALSE)</f>
        <v>0.1212</v>
      </c>
      <c r="K217" s="9">
        <f>VLOOKUP(A217,[1]Datasheet_2!$A$2:$H$611,4,FALSE)</f>
        <v>0.5</v>
      </c>
      <c r="L217" s="8">
        <f>VLOOKUP(A217,[1]Datasheet_2!$A$2:$H$611,5,FALSE)</f>
        <v>0.28360000000000002</v>
      </c>
      <c r="M217" s="8">
        <f>VLOOKUP(A217,[1]Datasheet_2!$A$2:$H$611,6,FALSE)</f>
        <v>0</v>
      </c>
      <c r="N217" s="8">
        <f>VLOOKUP(A217,[1]Datasheet_2!$A$2:$H$611,7,FALSE)</f>
        <v>31</v>
      </c>
      <c r="O217" s="9">
        <f>VLOOKUP(A217,[1]Datasheet_2!$A$2:$H$611,8,FALSE)</f>
        <v>31</v>
      </c>
    </row>
    <row r="218" spans="1:15" x14ac:dyDescent="0.3">
      <c r="A218" s="4">
        <v>217</v>
      </c>
      <c r="B218" s="5">
        <v>40553</v>
      </c>
      <c r="C218" s="4">
        <v>1</v>
      </c>
      <c r="D218" s="4">
        <v>7</v>
      </c>
      <c r="E218" s="4" t="b">
        <v>0</v>
      </c>
      <c r="F218" s="4">
        <v>1</v>
      </c>
      <c r="G218" s="4">
        <v>1</v>
      </c>
      <c r="H218" s="4">
        <v>0.12</v>
      </c>
      <c r="I218">
        <f>VLOOKUP(A218,[1]Datasheet_2!$A$2:$H$611,2,FALSE)</f>
        <v>216</v>
      </c>
      <c r="J218">
        <f>VLOOKUP(A218,[1]Datasheet_2!$A$2:$H$611,3,FALSE)</f>
        <v>0.1212</v>
      </c>
      <c r="K218" s="9">
        <f>VLOOKUP(A218,[1]Datasheet_2!$A$2:$H$611,4,FALSE)</f>
        <v>0.5</v>
      </c>
      <c r="L218" s="8">
        <f>VLOOKUP(A218,[1]Datasheet_2!$A$2:$H$611,5,FALSE)</f>
        <v>0.22389999999999999</v>
      </c>
      <c r="M218" s="8">
        <f>VLOOKUP(A218,[1]Datasheet_2!$A$2:$H$611,6,FALSE)</f>
        <v>2</v>
      </c>
      <c r="N218" s="8">
        <f>VLOOKUP(A218,[1]Datasheet_2!$A$2:$H$611,7,FALSE)</f>
        <v>75</v>
      </c>
      <c r="O218" s="9">
        <f>VLOOKUP(A218,[1]Datasheet_2!$A$2:$H$611,8,FALSE)</f>
        <v>77</v>
      </c>
    </row>
    <row r="219" spans="1:15" x14ac:dyDescent="0.3">
      <c r="A219" s="4">
        <v>218</v>
      </c>
      <c r="B219" s="5">
        <v>40553</v>
      </c>
      <c r="C219" s="4">
        <v>1</v>
      </c>
      <c r="D219" s="4">
        <v>8</v>
      </c>
      <c r="E219" s="4" t="b">
        <v>0</v>
      </c>
      <c r="F219" s="4">
        <v>1</v>
      </c>
      <c r="G219" s="4">
        <v>2</v>
      </c>
      <c r="H219" s="4">
        <v>0.12</v>
      </c>
      <c r="I219">
        <f>VLOOKUP(A219,[1]Datasheet_2!$A$2:$H$611,2,FALSE)</f>
        <v>217</v>
      </c>
      <c r="J219">
        <f>VLOOKUP(A219,[1]Datasheet_2!$A$2:$H$611,3,FALSE)</f>
        <v>0.1212</v>
      </c>
      <c r="K219" s="9">
        <f>VLOOKUP(A219,[1]Datasheet_2!$A$2:$H$611,4,FALSE)</f>
        <v>0.5</v>
      </c>
      <c r="L219" s="8">
        <f>VLOOKUP(A219,[1]Datasheet_2!$A$2:$H$611,5,FALSE)</f>
        <v>0.28360000000000002</v>
      </c>
      <c r="M219" s="8">
        <f>VLOOKUP(A219,[1]Datasheet_2!$A$2:$H$611,6,FALSE)</f>
        <v>4</v>
      </c>
      <c r="N219" s="8">
        <f>VLOOKUP(A219,[1]Datasheet_2!$A$2:$H$611,7,FALSE)</f>
        <v>184</v>
      </c>
      <c r="O219" s="9">
        <f>VLOOKUP(A219,[1]Datasheet_2!$A$2:$H$611,8,FALSE)</f>
        <v>188</v>
      </c>
    </row>
    <row r="220" spans="1:15" x14ac:dyDescent="0.3">
      <c r="A220" s="4">
        <v>219</v>
      </c>
      <c r="B220" s="5">
        <v>40553</v>
      </c>
      <c r="C220" s="4">
        <v>1</v>
      </c>
      <c r="D220" s="4">
        <v>9</v>
      </c>
      <c r="E220" s="4" t="b">
        <v>0</v>
      </c>
      <c r="F220" s="4">
        <v>1</v>
      </c>
      <c r="G220" s="4">
        <v>2</v>
      </c>
      <c r="H220" s="4">
        <v>0.14000000000000001</v>
      </c>
      <c r="I220">
        <f>VLOOKUP(A220,[1]Datasheet_2!$A$2:$H$611,2,FALSE)</f>
        <v>218</v>
      </c>
      <c r="J220">
        <f>VLOOKUP(A220,[1]Datasheet_2!$A$2:$H$611,3,FALSE)</f>
        <v>0.1212</v>
      </c>
      <c r="K220" s="9">
        <f>VLOOKUP(A220,[1]Datasheet_2!$A$2:$H$611,4,FALSE)</f>
        <v>0.5</v>
      </c>
      <c r="L220" s="8">
        <f>VLOOKUP(A220,[1]Datasheet_2!$A$2:$H$611,5,FALSE)</f>
        <v>0.25369999999999998</v>
      </c>
      <c r="M220" s="8">
        <f>VLOOKUP(A220,[1]Datasheet_2!$A$2:$H$611,6,FALSE)</f>
        <v>2</v>
      </c>
      <c r="N220" s="8">
        <f>VLOOKUP(A220,[1]Datasheet_2!$A$2:$H$611,7,FALSE)</f>
        <v>92</v>
      </c>
      <c r="O220" s="9">
        <f>VLOOKUP(A220,[1]Datasheet_2!$A$2:$H$611,8,FALSE)</f>
        <v>94</v>
      </c>
    </row>
    <row r="221" spans="1:15" x14ac:dyDescent="0.3">
      <c r="A221" s="4">
        <v>220</v>
      </c>
      <c r="B221" s="5">
        <v>40553</v>
      </c>
      <c r="C221" s="4">
        <v>1</v>
      </c>
      <c r="D221" s="4">
        <v>10</v>
      </c>
      <c r="E221" s="4" t="b">
        <v>0</v>
      </c>
      <c r="F221" s="4">
        <v>1</v>
      </c>
      <c r="G221" s="4">
        <v>2</v>
      </c>
      <c r="H221" s="4">
        <v>0.14000000000000001</v>
      </c>
      <c r="I221">
        <f>VLOOKUP(A221,[1]Datasheet_2!$A$2:$H$611,2,FALSE)</f>
        <v>219</v>
      </c>
      <c r="J221">
        <f>VLOOKUP(A221,[1]Datasheet_2!$A$2:$H$611,3,FALSE)</f>
        <v>0.1212</v>
      </c>
      <c r="K221" s="9">
        <f>VLOOKUP(A221,[1]Datasheet_2!$A$2:$H$611,4,FALSE)</f>
        <v>0.5</v>
      </c>
      <c r="L221" s="8">
        <f>VLOOKUP(A221,[1]Datasheet_2!$A$2:$H$611,5,FALSE)</f>
        <v>0.29849999999999999</v>
      </c>
      <c r="M221" s="8">
        <f>VLOOKUP(A221,[1]Datasheet_2!$A$2:$H$611,6,FALSE)</f>
        <v>0</v>
      </c>
      <c r="N221" s="8">
        <f>VLOOKUP(A221,[1]Datasheet_2!$A$2:$H$611,7,FALSE)</f>
        <v>31</v>
      </c>
      <c r="O221" s="9">
        <f>VLOOKUP(A221,[1]Datasheet_2!$A$2:$H$611,8,FALSE)</f>
        <v>31</v>
      </c>
    </row>
    <row r="222" spans="1:15" x14ac:dyDescent="0.3">
      <c r="A222" s="4">
        <v>221</v>
      </c>
      <c r="B222" s="5">
        <v>40553</v>
      </c>
      <c r="C222" s="4">
        <v>1</v>
      </c>
      <c r="D222" s="4">
        <v>11</v>
      </c>
      <c r="E222" s="4" t="b">
        <v>0</v>
      </c>
      <c r="F222" s="4">
        <v>1</v>
      </c>
      <c r="G222" s="4">
        <v>2</v>
      </c>
      <c r="H222" s="4">
        <v>0.16</v>
      </c>
      <c r="I222">
        <f>VLOOKUP(A222,[1]Datasheet_2!$A$2:$H$611,2,FALSE)</f>
        <v>220</v>
      </c>
      <c r="J222">
        <f>VLOOKUP(A222,[1]Datasheet_2!$A$2:$H$611,3,FALSE)</f>
        <v>0.13639999999999999</v>
      </c>
      <c r="K222" s="9">
        <f>VLOOKUP(A222,[1]Datasheet_2!$A$2:$H$611,4,FALSE)</f>
        <v>0.47</v>
      </c>
      <c r="L222" s="8">
        <f>VLOOKUP(A222,[1]Datasheet_2!$A$2:$H$611,5,FALSE)</f>
        <v>0.28360000000000002</v>
      </c>
      <c r="M222" s="8">
        <f>VLOOKUP(A222,[1]Datasheet_2!$A$2:$H$611,6,FALSE)</f>
        <v>2</v>
      </c>
      <c r="N222" s="8">
        <f>VLOOKUP(A222,[1]Datasheet_2!$A$2:$H$611,7,FALSE)</f>
        <v>28</v>
      </c>
      <c r="O222" s="9">
        <f>VLOOKUP(A222,[1]Datasheet_2!$A$2:$H$611,8,FALSE)</f>
        <v>30</v>
      </c>
    </row>
    <row r="223" spans="1:15" x14ac:dyDescent="0.3">
      <c r="A223" s="4">
        <v>222</v>
      </c>
      <c r="B223" s="5">
        <v>40553</v>
      </c>
      <c r="C223" s="4">
        <v>1</v>
      </c>
      <c r="D223" s="4">
        <v>12</v>
      </c>
      <c r="E223" s="4" t="b">
        <v>0</v>
      </c>
      <c r="F223" s="4">
        <v>1</v>
      </c>
      <c r="G223" s="4">
        <v>2</v>
      </c>
      <c r="H223" s="4">
        <v>0.2</v>
      </c>
      <c r="I223">
        <f>VLOOKUP(A223,[1]Datasheet_2!$A$2:$H$611,2,FALSE)</f>
        <v>221</v>
      </c>
      <c r="J223">
        <f>VLOOKUP(A223,[1]Datasheet_2!$A$2:$H$611,3,FALSE)</f>
        <v>0.18179999999999999</v>
      </c>
      <c r="K223" s="9">
        <f>VLOOKUP(A223,[1]Datasheet_2!$A$2:$H$611,4,FALSE)</f>
        <v>0.4</v>
      </c>
      <c r="L223" s="8">
        <f>VLOOKUP(A223,[1]Datasheet_2!$A$2:$H$611,5,FALSE)</f>
        <v>0.28360000000000002</v>
      </c>
      <c r="M223" s="8">
        <f>VLOOKUP(A223,[1]Datasheet_2!$A$2:$H$611,6,FALSE)</f>
        <v>5</v>
      </c>
      <c r="N223" s="8">
        <f>VLOOKUP(A223,[1]Datasheet_2!$A$2:$H$611,7,FALSE)</f>
        <v>47</v>
      </c>
      <c r="O223" s="9">
        <f>VLOOKUP(A223,[1]Datasheet_2!$A$2:$H$611,8,FALSE)</f>
        <v>52</v>
      </c>
    </row>
    <row r="224" spans="1:15" x14ac:dyDescent="0.3">
      <c r="A224" s="4">
        <v>223</v>
      </c>
      <c r="B224" s="5">
        <v>40553</v>
      </c>
      <c r="C224" s="4">
        <v>1</v>
      </c>
      <c r="D224" s="4">
        <v>13</v>
      </c>
      <c r="E224" s="4" t="b">
        <v>0</v>
      </c>
      <c r="F224" s="4">
        <v>1</v>
      </c>
      <c r="G224" s="4">
        <v>2</v>
      </c>
      <c r="H224" s="4">
        <v>0.2</v>
      </c>
      <c r="I224">
        <f>VLOOKUP(A224,[1]Datasheet_2!$A$2:$H$611,2,FALSE)</f>
        <v>222</v>
      </c>
      <c r="J224">
        <f>VLOOKUP(A224,[1]Datasheet_2!$A$2:$H$611,3,FALSE)</f>
        <v>0.18179999999999999</v>
      </c>
      <c r="K224" s="9">
        <f>VLOOKUP(A224,[1]Datasheet_2!$A$2:$H$611,4,FALSE)</f>
        <v>0.4</v>
      </c>
      <c r="L224" s="8">
        <f>VLOOKUP(A224,[1]Datasheet_2!$A$2:$H$611,5,FALSE)</f>
        <v>0.28360000000000002</v>
      </c>
      <c r="M224" s="8">
        <f>VLOOKUP(A224,[1]Datasheet_2!$A$2:$H$611,6,FALSE)</f>
        <v>4</v>
      </c>
      <c r="N224" s="8">
        <f>VLOOKUP(A224,[1]Datasheet_2!$A$2:$H$611,7,FALSE)</f>
        <v>50</v>
      </c>
      <c r="O224" s="9">
        <f>VLOOKUP(A224,[1]Datasheet_2!$A$2:$H$611,8,FALSE)</f>
        <v>54</v>
      </c>
    </row>
    <row r="225" spans="1:15" x14ac:dyDescent="0.3">
      <c r="A225" s="4">
        <v>224</v>
      </c>
      <c r="B225" s="5">
        <v>40553</v>
      </c>
      <c r="C225" s="4">
        <v>1</v>
      </c>
      <c r="D225" s="4">
        <v>14</v>
      </c>
      <c r="E225" s="4" t="b">
        <v>0</v>
      </c>
      <c r="F225" s="4">
        <v>1</v>
      </c>
      <c r="G225" s="4">
        <v>2</v>
      </c>
      <c r="H225" s="4">
        <v>0.2</v>
      </c>
      <c r="I225">
        <f>VLOOKUP(A225,[1]Datasheet_2!$A$2:$H$611,2,FALSE)</f>
        <v>223</v>
      </c>
      <c r="J225">
        <f>VLOOKUP(A225,[1]Datasheet_2!$A$2:$H$611,3,FALSE)</f>
        <v>0.19700000000000001</v>
      </c>
      <c r="K225" s="9">
        <f>VLOOKUP(A225,[1]Datasheet_2!$A$2:$H$611,4,FALSE)</f>
        <v>0.4</v>
      </c>
      <c r="L225" s="8">
        <f>VLOOKUP(A225,[1]Datasheet_2!$A$2:$H$611,5,FALSE)</f>
        <v>0.22389999999999999</v>
      </c>
      <c r="M225" s="8">
        <f>VLOOKUP(A225,[1]Datasheet_2!$A$2:$H$611,6,FALSE)</f>
        <v>0</v>
      </c>
      <c r="N225" s="8">
        <f>VLOOKUP(A225,[1]Datasheet_2!$A$2:$H$611,7,FALSE)</f>
        <v>47</v>
      </c>
      <c r="O225" s="9">
        <f>VLOOKUP(A225,[1]Datasheet_2!$A$2:$H$611,8,FALSE)</f>
        <v>47</v>
      </c>
    </row>
    <row r="226" spans="1:15" x14ac:dyDescent="0.3">
      <c r="A226" s="4">
        <v>225</v>
      </c>
      <c r="B226" s="5">
        <v>40553</v>
      </c>
      <c r="C226" s="4">
        <v>1</v>
      </c>
      <c r="D226" s="4">
        <v>15</v>
      </c>
      <c r="E226" s="4" t="b">
        <v>0</v>
      </c>
      <c r="F226" s="4">
        <v>1</v>
      </c>
      <c r="G226" s="4">
        <v>2</v>
      </c>
      <c r="H226" s="4">
        <v>0.2</v>
      </c>
      <c r="I226">
        <f>VLOOKUP(A226,[1]Datasheet_2!$A$2:$H$611,2,FALSE)</f>
        <v>224</v>
      </c>
      <c r="J226">
        <f>VLOOKUP(A226,[1]Datasheet_2!$A$2:$H$611,3,FALSE)</f>
        <v>0.19700000000000001</v>
      </c>
      <c r="K226" s="9">
        <f>VLOOKUP(A226,[1]Datasheet_2!$A$2:$H$611,4,FALSE)</f>
        <v>0.4</v>
      </c>
      <c r="L226" s="8">
        <f>VLOOKUP(A226,[1]Datasheet_2!$A$2:$H$611,5,FALSE)</f>
        <v>0.22389999999999999</v>
      </c>
      <c r="M226" s="8">
        <f>VLOOKUP(A226,[1]Datasheet_2!$A$2:$H$611,6,FALSE)</f>
        <v>2</v>
      </c>
      <c r="N226" s="8">
        <f>VLOOKUP(A226,[1]Datasheet_2!$A$2:$H$611,7,FALSE)</f>
        <v>43</v>
      </c>
      <c r="O226" s="9">
        <f>VLOOKUP(A226,[1]Datasheet_2!$A$2:$H$611,8,FALSE)</f>
        <v>45</v>
      </c>
    </row>
    <row r="227" spans="1:15" x14ac:dyDescent="0.3">
      <c r="A227" s="4">
        <v>226</v>
      </c>
      <c r="B227" s="5">
        <v>40553</v>
      </c>
      <c r="C227" s="4">
        <v>1</v>
      </c>
      <c r="D227" s="4">
        <v>16</v>
      </c>
      <c r="E227" s="4" t="b">
        <v>0</v>
      </c>
      <c r="F227" s="4">
        <v>1</v>
      </c>
      <c r="G227" s="4">
        <v>1</v>
      </c>
      <c r="H227" s="4">
        <v>0.2</v>
      </c>
      <c r="I227">
        <f>VLOOKUP(A227,[1]Datasheet_2!$A$2:$H$611,2,FALSE)</f>
        <v>225</v>
      </c>
      <c r="J227">
        <f>VLOOKUP(A227,[1]Datasheet_2!$A$2:$H$611,3,FALSE)</f>
        <v>0.21210000000000001</v>
      </c>
      <c r="K227" s="9">
        <f>VLOOKUP(A227,[1]Datasheet_2!$A$2:$H$611,4,FALSE)</f>
        <v>0.4</v>
      </c>
      <c r="L227" s="8">
        <f>VLOOKUP(A227,[1]Datasheet_2!$A$2:$H$611,5,FALSE)</f>
        <v>0.1343</v>
      </c>
      <c r="M227" s="8">
        <f>VLOOKUP(A227,[1]Datasheet_2!$A$2:$H$611,6,FALSE)</f>
        <v>4</v>
      </c>
      <c r="N227" s="8">
        <f>VLOOKUP(A227,[1]Datasheet_2!$A$2:$H$611,7,FALSE)</f>
        <v>70</v>
      </c>
      <c r="O227" s="9">
        <f>VLOOKUP(A227,[1]Datasheet_2!$A$2:$H$611,8,FALSE)</f>
        <v>74</v>
      </c>
    </row>
    <row r="228" spans="1:15" x14ac:dyDescent="0.3">
      <c r="A228" s="4">
        <v>227</v>
      </c>
      <c r="B228" s="5">
        <v>40553</v>
      </c>
      <c r="C228" s="4">
        <v>1</v>
      </c>
      <c r="D228" s="4">
        <v>17</v>
      </c>
      <c r="E228" s="4" t="b">
        <v>0</v>
      </c>
      <c r="F228" s="4">
        <v>1</v>
      </c>
      <c r="G228" s="4">
        <v>1</v>
      </c>
      <c r="H228" s="4">
        <v>0.2</v>
      </c>
      <c r="I228">
        <f>VLOOKUP(A228,[1]Datasheet_2!$A$2:$H$611,2,FALSE)</f>
        <v>226</v>
      </c>
      <c r="J228">
        <f>VLOOKUP(A228,[1]Datasheet_2!$A$2:$H$611,3,FALSE)</f>
        <v>0.2273</v>
      </c>
      <c r="K228" s="9">
        <f>VLOOKUP(A228,[1]Datasheet_2!$A$2:$H$611,4,FALSE)</f>
        <v>0.4</v>
      </c>
      <c r="L228" s="8">
        <f>VLOOKUP(A228,[1]Datasheet_2!$A$2:$H$611,5,FALSE)</f>
        <v>0.1045</v>
      </c>
      <c r="M228" s="8">
        <f>VLOOKUP(A228,[1]Datasheet_2!$A$2:$H$611,6,FALSE)</f>
        <v>4</v>
      </c>
      <c r="N228" s="8">
        <f>VLOOKUP(A228,[1]Datasheet_2!$A$2:$H$611,7,FALSE)</f>
        <v>174</v>
      </c>
      <c r="O228" s="9">
        <f>VLOOKUP(A228,[1]Datasheet_2!$A$2:$H$611,8,FALSE)</f>
        <v>178</v>
      </c>
    </row>
    <row r="229" spans="1:15" x14ac:dyDescent="0.3">
      <c r="A229" s="4">
        <v>228</v>
      </c>
      <c r="B229" s="5">
        <v>40553</v>
      </c>
      <c r="C229" s="4">
        <v>1</v>
      </c>
      <c r="D229" s="4">
        <v>18</v>
      </c>
      <c r="E229" s="4" t="b">
        <v>0</v>
      </c>
      <c r="F229" s="4">
        <v>1</v>
      </c>
      <c r="G229" s="4">
        <v>1</v>
      </c>
      <c r="H229" s="4">
        <v>0.2</v>
      </c>
      <c r="I229">
        <f>VLOOKUP(A229,[1]Datasheet_2!$A$2:$H$611,2,FALSE)</f>
        <v>227</v>
      </c>
      <c r="J229">
        <f>VLOOKUP(A229,[1]Datasheet_2!$A$2:$H$611,3,FALSE)</f>
        <v>0.19700000000000001</v>
      </c>
      <c r="K229" s="9">
        <f>VLOOKUP(A229,[1]Datasheet_2!$A$2:$H$611,4,FALSE)</f>
        <v>0.4</v>
      </c>
      <c r="L229" s="8">
        <f>VLOOKUP(A229,[1]Datasheet_2!$A$2:$H$611,5,FALSE)</f>
        <v>0.22389999999999999</v>
      </c>
      <c r="M229" s="8">
        <f>VLOOKUP(A229,[1]Datasheet_2!$A$2:$H$611,6,FALSE)</f>
        <v>1</v>
      </c>
      <c r="N229" s="8">
        <f>VLOOKUP(A229,[1]Datasheet_2!$A$2:$H$611,7,FALSE)</f>
        <v>154</v>
      </c>
      <c r="O229" s="9">
        <f>VLOOKUP(A229,[1]Datasheet_2!$A$2:$H$611,8,FALSE)</f>
        <v>155</v>
      </c>
    </row>
    <row r="230" spans="1:15" x14ac:dyDescent="0.3">
      <c r="A230" s="4">
        <v>229</v>
      </c>
      <c r="B230" s="5">
        <v>40553</v>
      </c>
      <c r="C230" s="4">
        <v>1</v>
      </c>
      <c r="D230" s="4">
        <v>19</v>
      </c>
      <c r="E230" s="4" t="b">
        <v>0</v>
      </c>
      <c r="F230" s="4">
        <v>1</v>
      </c>
      <c r="G230" s="4">
        <v>1</v>
      </c>
      <c r="H230" s="4">
        <v>0.16</v>
      </c>
      <c r="I230">
        <f>VLOOKUP(A230,[1]Datasheet_2!$A$2:$H$611,2,FALSE)</f>
        <v>228</v>
      </c>
      <c r="J230">
        <f>VLOOKUP(A230,[1]Datasheet_2!$A$2:$H$611,3,FALSE)</f>
        <v>0.16669999999999999</v>
      </c>
      <c r="K230" s="9">
        <f>VLOOKUP(A230,[1]Datasheet_2!$A$2:$H$611,4,FALSE)</f>
        <v>0.47</v>
      </c>
      <c r="L230" s="8">
        <f>VLOOKUP(A230,[1]Datasheet_2!$A$2:$H$611,5,FALSE)</f>
        <v>0.16420000000000001</v>
      </c>
      <c r="M230" s="8">
        <f>VLOOKUP(A230,[1]Datasheet_2!$A$2:$H$611,6,FALSE)</f>
        <v>3</v>
      </c>
      <c r="N230" s="8">
        <f>VLOOKUP(A230,[1]Datasheet_2!$A$2:$H$611,7,FALSE)</f>
        <v>92</v>
      </c>
      <c r="O230" s="9">
        <f>VLOOKUP(A230,[1]Datasheet_2!$A$2:$H$611,8,FALSE)</f>
        <v>95</v>
      </c>
    </row>
    <row r="231" spans="1:15" x14ac:dyDescent="0.3">
      <c r="A231" s="4">
        <v>230</v>
      </c>
      <c r="B231" s="5">
        <v>40553</v>
      </c>
      <c r="C231" s="4">
        <v>1</v>
      </c>
      <c r="D231" s="4">
        <v>20</v>
      </c>
      <c r="E231" s="4" t="b">
        <v>0</v>
      </c>
      <c r="F231" s="4">
        <v>1</v>
      </c>
      <c r="G231" s="4">
        <v>1</v>
      </c>
      <c r="H231" s="4">
        <v>0.16</v>
      </c>
      <c r="I231">
        <f>VLOOKUP(A231,[1]Datasheet_2!$A$2:$H$611,2,FALSE)</f>
        <v>229</v>
      </c>
      <c r="J231">
        <f>VLOOKUP(A231,[1]Datasheet_2!$A$2:$H$611,3,FALSE)</f>
        <v>0.16669999999999999</v>
      </c>
      <c r="K231" s="9">
        <f>VLOOKUP(A231,[1]Datasheet_2!$A$2:$H$611,4,FALSE)</f>
        <v>0.5</v>
      </c>
      <c r="L231" s="8">
        <f>VLOOKUP(A231,[1]Datasheet_2!$A$2:$H$611,5,FALSE)</f>
        <v>0.16420000000000001</v>
      </c>
      <c r="M231" s="8">
        <f>VLOOKUP(A231,[1]Datasheet_2!$A$2:$H$611,6,FALSE)</f>
        <v>1</v>
      </c>
      <c r="N231" s="8">
        <f>VLOOKUP(A231,[1]Datasheet_2!$A$2:$H$611,7,FALSE)</f>
        <v>73</v>
      </c>
      <c r="O231" s="9">
        <f>VLOOKUP(A231,[1]Datasheet_2!$A$2:$H$611,8,FALSE)</f>
        <v>74</v>
      </c>
    </row>
    <row r="232" spans="1:15" x14ac:dyDescent="0.3">
      <c r="A232" s="4">
        <v>231</v>
      </c>
      <c r="B232" s="5">
        <v>40553</v>
      </c>
      <c r="C232" s="4">
        <v>1</v>
      </c>
      <c r="D232" s="4">
        <v>21</v>
      </c>
      <c r="E232" s="4" t="b">
        <v>0</v>
      </c>
      <c r="F232" s="4">
        <v>1</v>
      </c>
      <c r="G232" s="4">
        <v>1</v>
      </c>
      <c r="H232" s="4">
        <v>0.14000000000000001</v>
      </c>
      <c r="I232">
        <f>VLOOKUP(A232,[1]Datasheet_2!$A$2:$H$611,2,FALSE)</f>
        <v>230</v>
      </c>
      <c r="J232">
        <f>VLOOKUP(A232,[1]Datasheet_2!$A$2:$H$611,3,FALSE)</f>
        <v>0.13639999999999999</v>
      </c>
      <c r="K232" s="9">
        <f>VLOOKUP(A232,[1]Datasheet_2!$A$2:$H$611,4,FALSE)</f>
        <v>0.59</v>
      </c>
      <c r="L232" s="8">
        <f>VLOOKUP(A232,[1]Datasheet_2!$A$2:$H$611,5,FALSE)</f>
        <v>0.19400000000000001</v>
      </c>
      <c r="M232" s="8">
        <f>VLOOKUP(A232,[1]Datasheet_2!$A$2:$H$611,6,FALSE)</f>
        <v>1</v>
      </c>
      <c r="N232" s="8">
        <f>VLOOKUP(A232,[1]Datasheet_2!$A$2:$H$611,7,FALSE)</f>
        <v>37</v>
      </c>
      <c r="O232" s="9">
        <f>VLOOKUP(A232,[1]Datasheet_2!$A$2:$H$611,8,FALSE)</f>
        <v>38</v>
      </c>
    </row>
    <row r="233" spans="1:15" x14ac:dyDescent="0.3">
      <c r="A233" s="4">
        <v>232</v>
      </c>
      <c r="B233" s="5">
        <v>40553</v>
      </c>
      <c r="C233" s="4">
        <v>1</v>
      </c>
      <c r="D233" s="4">
        <v>22</v>
      </c>
      <c r="E233" s="4" t="b">
        <v>0</v>
      </c>
      <c r="F233" s="4">
        <v>1</v>
      </c>
      <c r="G233" s="4">
        <v>1</v>
      </c>
      <c r="H233" s="4">
        <v>0.14000000000000001</v>
      </c>
      <c r="I233">
        <f>VLOOKUP(A233,[1]Datasheet_2!$A$2:$H$611,2,FALSE)</f>
        <v>231</v>
      </c>
      <c r="J233">
        <f>VLOOKUP(A233,[1]Datasheet_2!$A$2:$H$611,3,FALSE)</f>
        <v>0.1515</v>
      </c>
      <c r="K233" s="9">
        <f>VLOOKUP(A233,[1]Datasheet_2!$A$2:$H$611,4,FALSE)</f>
        <v>0.59</v>
      </c>
      <c r="L233" s="8">
        <f>VLOOKUP(A233,[1]Datasheet_2!$A$2:$H$611,5,FALSE)</f>
        <v>0.16420000000000001</v>
      </c>
      <c r="M233" s="8">
        <f>VLOOKUP(A233,[1]Datasheet_2!$A$2:$H$611,6,FALSE)</f>
        <v>2</v>
      </c>
      <c r="N233" s="8">
        <f>VLOOKUP(A233,[1]Datasheet_2!$A$2:$H$611,7,FALSE)</f>
        <v>22</v>
      </c>
      <c r="O233" s="9">
        <f>VLOOKUP(A233,[1]Datasheet_2!$A$2:$H$611,8,FALSE)</f>
        <v>24</v>
      </c>
    </row>
    <row r="234" spans="1:15" x14ac:dyDescent="0.3">
      <c r="A234" s="4">
        <v>233</v>
      </c>
      <c r="B234" s="5">
        <v>40553</v>
      </c>
      <c r="C234" s="4">
        <v>1</v>
      </c>
      <c r="D234" s="4">
        <v>23</v>
      </c>
      <c r="E234" s="4" t="b">
        <v>0</v>
      </c>
      <c r="F234" s="4">
        <v>1</v>
      </c>
      <c r="G234" s="4">
        <v>1</v>
      </c>
      <c r="H234" s="4">
        <v>0.14000000000000001</v>
      </c>
      <c r="I234">
        <f>VLOOKUP(A234,[1]Datasheet_2!$A$2:$H$611,2,FALSE)</f>
        <v>232</v>
      </c>
      <c r="J234">
        <f>VLOOKUP(A234,[1]Datasheet_2!$A$2:$H$611,3,FALSE)</f>
        <v>0.1515</v>
      </c>
      <c r="K234" s="9">
        <f>VLOOKUP(A234,[1]Datasheet_2!$A$2:$H$611,4,FALSE)</f>
        <v>0.59</v>
      </c>
      <c r="L234" s="8">
        <f>VLOOKUP(A234,[1]Datasheet_2!$A$2:$H$611,5,FALSE)</f>
        <v>0.16420000000000001</v>
      </c>
      <c r="M234" s="8">
        <f>VLOOKUP(A234,[1]Datasheet_2!$A$2:$H$611,6,FALSE)</f>
        <v>0</v>
      </c>
      <c r="N234" s="8">
        <f>VLOOKUP(A234,[1]Datasheet_2!$A$2:$H$611,7,FALSE)</f>
        <v>18</v>
      </c>
      <c r="O234" s="9">
        <f>VLOOKUP(A234,[1]Datasheet_2!$A$2:$H$611,8,FALSE)</f>
        <v>18</v>
      </c>
    </row>
    <row r="235" spans="1:15" x14ac:dyDescent="0.3">
      <c r="A235" s="4">
        <v>234</v>
      </c>
      <c r="B235" s="5">
        <v>40554</v>
      </c>
      <c r="C235" s="4">
        <v>1</v>
      </c>
      <c r="D235" s="4">
        <v>0</v>
      </c>
      <c r="E235" s="4" t="b">
        <v>0</v>
      </c>
      <c r="F235" s="4">
        <v>2</v>
      </c>
      <c r="G235" s="4">
        <v>1</v>
      </c>
      <c r="H235" s="4">
        <v>0.14000000000000001</v>
      </c>
      <c r="I235">
        <f>VLOOKUP(A235,[1]Datasheet_2!$A$2:$H$611,2,FALSE)</f>
        <v>233</v>
      </c>
      <c r="J235">
        <f>VLOOKUP(A235,[1]Datasheet_2!$A$2:$H$611,3,FALSE)</f>
        <v>0.16669999999999999</v>
      </c>
      <c r="K235" s="9">
        <f>VLOOKUP(A235,[1]Datasheet_2!$A$2:$H$611,4,FALSE)</f>
        <v>0.59</v>
      </c>
      <c r="L235" s="8">
        <f>VLOOKUP(A235,[1]Datasheet_2!$A$2:$H$611,5,FALSE)</f>
        <v>0.1045</v>
      </c>
      <c r="M235" s="8">
        <f>VLOOKUP(A235,[1]Datasheet_2!$A$2:$H$611,6,FALSE)</f>
        <v>2</v>
      </c>
      <c r="N235" s="8">
        <f>VLOOKUP(A235,[1]Datasheet_2!$A$2:$H$611,7,FALSE)</f>
        <v>10</v>
      </c>
      <c r="O235" s="9">
        <f>VLOOKUP(A235,[1]Datasheet_2!$A$2:$H$611,8,FALSE)</f>
        <v>12</v>
      </c>
    </row>
    <row r="236" spans="1:15" x14ac:dyDescent="0.3">
      <c r="A236" s="4">
        <v>235</v>
      </c>
      <c r="B236" s="5">
        <v>40554</v>
      </c>
      <c r="C236" s="4">
        <v>1</v>
      </c>
      <c r="D236" s="4">
        <v>1</v>
      </c>
      <c r="E236" s="4" t="b">
        <v>0</v>
      </c>
      <c r="F236" s="4">
        <v>2</v>
      </c>
      <c r="G236" s="4">
        <v>1</v>
      </c>
      <c r="H236" s="4">
        <v>0.14000000000000001</v>
      </c>
      <c r="I236">
        <f>VLOOKUP(A236,[1]Datasheet_2!$A$2:$H$611,2,FALSE)</f>
        <v>234</v>
      </c>
      <c r="J236">
        <f>VLOOKUP(A236,[1]Datasheet_2!$A$2:$H$611,3,FALSE)</f>
        <v>0.1515</v>
      </c>
      <c r="K236" s="9">
        <f>VLOOKUP(A236,[1]Datasheet_2!$A$2:$H$611,4,FALSE)</f>
        <v>0.59</v>
      </c>
      <c r="L236" s="8">
        <f>VLOOKUP(A236,[1]Datasheet_2!$A$2:$H$611,5,FALSE)</f>
        <v>0.16420000000000001</v>
      </c>
      <c r="M236" s="8">
        <f>VLOOKUP(A236,[1]Datasheet_2!$A$2:$H$611,6,FALSE)</f>
        <v>0</v>
      </c>
      <c r="N236" s="8">
        <f>VLOOKUP(A236,[1]Datasheet_2!$A$2:$H$611,7,FALSE)</f>
        <v>3</v>
      </c>
      <c r="O236" s="9">
        <f>VLOOKUP(A236,[1]Datasheet_2!$A$2:$H$611,8,FALSE)</f>
        <v>3</v>
      </c>
    </row>
    <row r="237" spans="1:15" x14ac:dyDescent="0.3">
      <c r="A237" s="4">
        <v>236</v>
      </c>
      <c r="B237" s="5">
        <v>40554</v>
      </c>
      <c r="C237" s="4">
        <v>1</v>
      </c>
      <c r="D237" s="4">
        <v>2</v>
      </c>
      <c r="E237" s="4" t="b">
        <v>0</v>
      </c>
      <c r="F237" s="4">
        <v>2</v>
      </c>
      <c r="G237" s="4">
        <v>2</v>
      </c>
      <c r="H237" s="4">
        <v>0.16</v>
      </c>
      <c r="I237">
        <f>VLOOKUP(A237,[1]Datasheet_2!$A$2:$H$611,2,FALSE)</f>
        <v>235</v>
      </c>
      <c r="J237">
        <f>VLOOKUP(A237,[1]Datasheet_2!$A$2:$H$611,3,FALSE)</f>
        <v>0.1515</v>
      </c>
      <c r="K237" s="9">
        <f>VLOOKUP(A237,[1]Datasheet_2!$A$2:$H$611,4,FALSE)</f>
        <v>0.55000000000000004</v>
      </c>
      <c r="L237" s="8">
        <f>VLOOKUP(A237,[1]Datasheet_2!$A$2:$H$611,5,FALSE)</f>
        <v>0.19400000000000001</v>
      </c>
      <c r="M237" s="8">
        <f>VLOOKUP(A237,[1]Datasheet_2!$A$2:$H$611,6,FALSE)</f>
        <v>0</v>
      </c>
      <c r="N237" s="8">
        <f>VLOOKUP(A237,[1]Datasheet_2!$A$2:$H$611,7,FALSE)</f>
        <v>3</v>
      </c>
      <c r="O237" s="9">
        <f>VLOOKUP(A237,[1]Datasheet_2!$A$2:$H$611,8,FALSE)</f>
        <v>3</v>
      </c>
    </row>
    <row r="238" spans="1:15" x14ac:dyDescent="0.3">
      <c r="A238" s="4">
        <v>237</v>
      </c>
      <c r="B238" s="5">
        <v>40554</v>
      </c>
      <c r="C238" s="4">
        <v>1</v>
      </c>
      <c r="D238" s="4">
        <v>5</v>
      </c>
      <c r="E238" s="4" t="b">
        <v>0</v>
      </c>
      <c r="F238" s="4">
        <v>2</v>
      </c>
      <c r="G238" s="4">
        <v>2</v>
      </c>
      <c r="H238" s="4">
        <v>0.16</v>
      </c>
      <c r="I238">
        <f>VLOOKUP(A238,[1]Datasheet_2!$A$2:$H$611,2,FALSE)</f>
        <v>236</v>
      </c>
      <c r="J238">
        <f>VLOOKUP(A238,[1]Datasheet_2!$A$2:$H$611,3,FALSE)</f>
        <v>0.18179999999999999</v>
      </c>
      <c r="K238" s="9">
        <f>VLOOKUP(A238,[1]Datasheet_2!$A$2:$H$611,4,FALSE)</f>
        <v>0.55000000000000004</v>
      </c>
      <c r="L238" s="8">
        <f>VLOOKUP(A238,[1]Datasheet_2!$A$2:$H$611,5,FALSE)</f>
        <v>0.1343</v>
      </c>
      <c r="M238" s="8">
        <f>VLOOKUP(A238,[1]Datasheet_2!$A$2:$H$611,6,FALSE)</f>
        <v>0</v>
      </c>
      <c r="N238" s="8">
        <f>VLOOKUP(A238,[1]Datasheet_2!$A$2:$H$611,7,FALSE)</f>
        <v>6</v>
      </c>
      <c r="O238" s="9">
        <f>VLOOKUP(A238,[1]Datasheet_2!$A$2:$H$611,8,FALSE)</f>
        <v>6</v>
      </c>
    </row>
    <row r="239" spans="1:15" x14ac:dyDescent="0.3">
      <c r="A239" s="4">
        <v>238</v>
      </c>
      <c r="B239" s="5">
        <v>40554</v>
      </c>
      <c r="C239" s="4">
        <v>1</v>
      </c>
      <c r="D239" s="4">
        <v>6</v>
      </c>
      <c r="E239" s="4" t="b">
        <v>0</v>
      </c>
      <c r="F239" s="4">
        <v>2</v>
      </c>
      <c r="G239" s="4">
        <v>2</v>
      </c>
      <c r="H239" s="4">
        <v>0.16</v>
      </c>
      <c r="I239">
        <f>VLOOKUP(A239,[1]Datasheet_2!$A$2:$H$611,2,FALSE)</f>
        <v>237</v>
      </c>
      <c r="J239">
        <f>VLOOKUP(A239,[1]Datasheet_2!$A$2:$H$611,3,FALSE)</f>
        <v>0.18179999999999999</v>
      </c>
      <c r="K239" s="9">
        <f>VLOOKUP(A239,[1]Datasheet_2!$A$2:$H$611,4,FALSE)</f>
        <v>0.55000000000000004</v>
      </c>
      <c r="L239" s="8">
        <f>VLOOKUP(A239,[1]Datasheet_2!$A$2:$H$611,5,FALSE)</f>
        <v>0.1343</v>
      </c>
      <c r="M239" s="8">
        <f>VLOOKUP(A239,[1]Datasheet_2!$A$2:$H$611,6,FALSE)</f>
        <v>0</v>
      </c>
      <c r="N239" s="8">
        <f>VLOOKUP(A239,[1]Datasheet_2!$A$2:$H$611,7,FALSE)</f>
        <v>27</v>
      </c>
      <c r="O239" s="9">
        <f>VLOOKUP(A239,[1]Datasheet_2!$A$2:$H$611,8,FALSE)</f>
        <v>27</v>
      </c>
    </row>
    <row r="240" spans="1:15" x14ac:dyDescent="0.3">
      <c r="A240" s="4">
        <v>239</v>
      </c>
      <c r="B240" s="5">
        <v>40554</v>
      </c>
      <c r="C240" s="4">
        <v>1</v>
      </c>
      <c r="D240" s="4">
        <v>7</v>
      </c>
      <c r="E240" s="4" t="b">
        <v>0</v>
      </c>
      <c r="F240" s="4">
        <v>2</v>
      </c>
      <c r="G240" s="4">
        <v>2</v>
      </c>
      <c r="H240" s="4">
        <v>0.16</v>
      </c>
      <c r="I240">
        <f>VLOOKUP(A240,[1]Datasheet_2!$A$2:$H$611,2,FALSE)</f>
        <v>238</v>
      </c>
      <c r="J240">
        <f>VLOOKUP(A240,[1]Datasheet_2!$A$2:$H$611,3,FALSE)</f>
        <v>0.2273</v>
      </c>
      <c r="K240" s="9">
        <f>VLOOKUP(A240,[1]Datasheet_2!$A$2:$H$611,4,FALSE)</f>
        <v>0.55000000000000004</v>
      </c>
      <c r="L240" s="8">
        <f>VLOOKUP(A240,[1]Datasheet_2!$A$2:$H$611,5,FALSE)</f>
        <v>0</v>
      </c>
      <c r="M240" s="8">
        <f>VLOOKUP(A240,[1]Datasheet_2!$A$2:$H$611,6,FALSE)</f>
        <v>2</v>
      </c>
      <c r="N240" s="8">
        <f>VLOOKUP(A240,[1]Datasheet_2!$A$2:$H$611,7,FALSE)</f>
        <v>97</v>
      </c>
      <c r="O240" s="9">
        <f>VLOOKUP(A240,[1]Datasheet_2!$A$2:$H$611,8,FALSE)</f>
        <v>99</v>
      </c>
    </row>
    <row r="241" spans="1:15" x14ac:dyDescent="0.3">
      <c r="A241" s="4">
        <v>240</v>
      </c>
      <c r="B241" s="5">
        <v>40554</v>
      </c>
      <c r="C241" s="4">
        <v>1</v>
      </c>
      <c r="D241" s="4">
        <v>8</v>
      </c>
      <c r="E241" s="4" t="b">
        <v>0</v>
      </c>
      <c r="F241" s="4">
        <v>2</v>
      </c>
      <c r="G241" s="4">
        <v>2</v>
      </c>
      <c r="H241" s="4">
        <v>0.18</v>
      </c>
      <c r="I241">
        <f>VLOOKUP(A241,[1]Datasheet_2!$A$2:$H$611,2,FALSE)</f>
        <v>239</v>
      </c>
      <c r="J241">
        <f>VLOOKUP(A241,[1]Datasheet_2!$A$2:$H$611,3,FALSE)</f>
        <v>0.21210000000000001</v>
      </c>
      <c r="K241" s="9">
        <f>VLOOKUP(A241,[1]Datasheet_2!$A$2:$H$611,4,FALSE)</f>
        <v>0.51</v>
      </c>
      <c r="L241" s="8">
        <f>VLOOKUP(A241,[1]Datasheet_2!$A$2:$H$611,5,FALSE)</f>
        <v>8.9599999999999999E-2</v>
      </c>
      <c r="M241" s="8">
        <f>VLOOKUP(A241,[1]Datasheet_2!$A$2:$H$611,6,FALSE)</f>
        <v>3</v>
      </c>
      <c r="N241" s="8">
        <f>VLOOKUP(A241,[1]Datasheet_2!$A$2:$H$611,7,FALSE)</f>
        <v>214</v>
      </c>
      <c r="O241" s="9">
        <f>VLOOKUP(A241,[1]Datasheet_2!$A$2:$H$611,8,FALSE)</f>
        <v>217</v>
      </c>
    </row>
    <row r="242" spans="1:15" x14ac:dyDescent="0.3">
      <c r="A242" s="4">
        <v>241</v>
      </c>
      <c r="B242" s="5">
        <v>40554</v>
      </c>
      <c r="C242" s="4">
        <v>1</v>
      </c>
      <c r="D242" s="4">
        <v>9</v>
      </c>
      <c r="E242" s="4" t="b">
        <v>0</v>
      </c>
      <c r="F242" s="4">
        <v>2</v>
      </c>
      <c r="G242" s="4">
        <v>2</v>
      </c>
      <c r="H242" s="4">
        <v>0.18</v>
      </c>
      <c r="I242">
        <f>VLOOKUP(A242,[1]Datasheet_2!$A$2:$H$611,2,FALSE)</f>
        <v>240</v>
      </c>
      <c r="J242">
        <f>VLOOKUP(A242,[1]Datasheet_2!$A$2:$H$611,3,FALSE)</f>
        <v>0.19700000000000001</v>
      </c>
      <c r="K242" s="9">
        <f>VLOOKUP(A242,[1]Datasheet_2!$A$2:$H$611,4,FALSE)</f>
        <v>0.51</v>
      </c>
      <c r="L242" s="8">
        <f>VLOOKUP(A242,[1]Datasheet_2!$A$2:$H$611,5,FALSE)</f>
        <v>0.16420000000000001</v>
      </c>
      <c r="M242" s="8">
        <f>VLOOKUP(A242,[1]Datasheet_2!$A$2:$H$611,6,FALSE)</f>
        <v>3</v>
      </c>
      <c r="N242" s="8">
        <f>VLOOKUP(A242,[1]Datasheet_2!$A$2:$H$611,7,FALSE)</f>
        <v>127</v>
      </c>
      <c r="O242" s="9">
        <f>VLOOKUP(A242,[1]Datasheet_2!$A$2:$H$611,8,FALSE)</f>
        <v>130</v>
      </c>
    </row>
    <row r="243" spans="1:15" x14ac:dyDescent="0.3">
      <c r="A243" s="4">
        <v>242</v>
      </c>
      <c r="B243" s="5">
        <v>40554</v>
      </c>
      <c r="C243" s="4">
        <v>1</v>
      </c>
      <c r="D243" s="4">
        <v>10</v>
      </c>
      <c r="E243" s="4" t="b">
        <v>0</v>
      </c>
      <c r="F243" s="4">
        <v>2</v>
      </c>
      <c r="G243" s="4">
        <v>2</v>
      </c>
      <c r="H243" s="4">
        <v>0.2</v>
      </c>
      <c r="I243">
        <f>VLOOKUP(A243,[1]Datasheet_2!$A$2:$H$611,2,FALSE)</f>
        <v>241</v>
      </c>
      <c r="J243">
        <f>VLOOKUP(A243,[1]Datasheet_2!$A$2:$H$611,3,FALSE)</f>
        <v>0.21210000000000001</v>
      </c>
      <c r="K243" s="9">
        <f>VLOOKUP(A243,[1]Datasheet_2!$A$2:$H$611,4,FALSE)</f>
        <v>0.51</v>
      </c>
      <c r="L243" s="8">
        <f>VLOOKUP(A243,[1]Datasheet_2!$A$2:$H$611,5,FALSE)</f>
        <v>0.16420000000000001</v>
      </c>
      <c r="M243" s="8">
        <f>VLOOKUP(A243,[1]Datasheet_2!$A$2:$H$611,6,FALSE)</f>
        <v>3</v>
      </c>
      <c r="N243" s="8">
        <f>VLOOKUP(A243,[1]Datasheet_2!$A$2:$H$611,7,FALSE)</f>
        <v>51</v>
      </c>
      <c r="O243" s="9">
        <f>VLOOKUP(A243,[1]Datasheet_2!$A$2:$H$611,8,FALSE)</f>
        <v>54</v>
      </c>
    </row>
    <row r="244" spans="1:15" x14ac:dyDescent="0.3">
      <c r="A244" s="4">
        <v>243</v>
      </c>
      <c r="B244" s="5">
        <v>40554</v>
      </c>
      <c r="C244" s="4">
        <v>1</v>
      </c>
      <c r="D244" s="4">
        <v>11</v>
      </c>
      <c r="E244" s="4" t="b">
        <v>0</v>
      </c>
      <c r="F244" s="4">
        <v>2</v>
      </c>
      <c r="G244" s="4">
        <v>2</v>
      </c>
      <c r="H244" s="4">
        <v>0.2</v>
      </c>
      <c r="I244">
        <f>VLOOKUP(A244,[1]Datasheet_2!$A$2:$H$611,2,FALSE)</f>
        <v>242</v>
      </c>
      <c r="J244">
        <f>VLOOKUP(A244,[1]Datasheet_2!$A$2:$H$611,3,FALSE)</f>
        <v>0.21210000000000001</v>
      </c>
      <c r="K244" s="9">
        <f>VLOOKUP(A244,[1]Datasheet_2!$A$2:$H$611,4,FALSE)</f>
        <v>0.47</v>
      </c>
      <c r="L244" s="8">
        <f>VLOOKUP(A244,[1]Datasheet_2!$A$2:$H$611,5,FALSE)</f>
        <v>0.1343</v>
      </c>
      <c r="M244" s="8">
        <f>VLOOKUP(A244,[1]Datasheet_2!$A$2:$H$611,6,FALSE)</f>
        <v>4</v>
      </c>
      <c r="N244" s="8">
        <f>VLOOKUP(A244,[1]Datasheet_2!$A$2:$H$611,7,FALSE)</f>
        <v>31</v>
      </c>
      <c r="O244" s="9">
        <f>VLOOKUP(A244,[1]Datasheet_2!$A$2:$H$611,8,FALSE)</f>
        <v>35</v>
      </c>
    </row>
    <row r="245" spans="1:15" x14ac:dyDescent="0.3">
      <c r="A245" s="4">
        <v>244</v>
      </c>
      <c r="B245" s="5">
        <v>40554</v>
      </c>
      <c r="C245" s="4">
        <v>1</v>
      </c>
      <c r="D245" s="4">
        <v>12</v>
      </c>
      <c r="E245" s="4" t="b">
        <v>0</v>
      </c>
      <c r="F245" s="4">
        <v>2</v>
      </c>
      <c r="G245" s="4">
        <v>2</v>
      </c>
      <c r="H245" s="4">
        <v>0.2</v>
      </c>
      <c r="I245">
        <f>VLOOKUP(A245,[1]Datasheet_2!$A$2:$H$611,2,FALSE)</f>
        <v>243</v>
      </c>
      <c r="J245">
        <f>VLOOKUP(A245,[1]Datasheet_2!$A$2:$H$611,3,FALSE)</f>
        <v>0.2273</v>
      </c>
      <c r="K245" s="9">
        <f>VLOOKUP(A245,[1]Datasheet_2!$A$2:$H$611,4,FALSE)</f>
        <v>0.51</v>
      </c>
      <c r="L245" s="8">
        <f>VLOOKUP(A245,[1]Datasheet_2!$A$2:$H$611,5,FALSE)</f>
        <v>0.1045</v>
      </c>
      <c r="M245" s="8">
        <f>VLOOKUP(A245,[1]Datasheet_2!$A$2:$H$611,6,FALSE)</f>
        <v>2</v>
      </c>
      <c r="N245" s="8">
        <f>VLOOKUP(A245,[1]Datasheet_2!$A$2:$H$611,7,FALSE)</f>
        <v>55</v>
      </c>
      <c r="O245" s="9">
        <f>VLOOKUP(A245,[1]Datasheet_2!$A$2:$H$611,8,FALSE)</f>
        <v>57</v>
      </c>
    </row>
    <row r="246" spans="1:15" x14ac:dyDescent="0.3">
      <c r="A246" s="4">
        <v>245</v>
      </c>
      <c r="B246" s="5">
        <v>40554</v>
      </c>
      <c r="C246" s="4">
        <v>1</v>
      </c>
      <c r="D246" s="4">
        <v>13</v>
      </c>
      <c r="E246" s="4" t="b">
        <v>0</v>
      </c>
      <c r="F246" s="4">
        <v>2</v>
      </c>
      <c r="G246" s="4">
        <v>2</v>
      </c>
      <c r="H246" s="4">
        <v>0.2</v>
      </c>
      <c r="I246">
        <f>VLOOKUP(A246,[1]Datasheet_2!$A$2:$H$611,2,FALSE)</f>
        <v>244</v>
      </c>
      <c r="J246">
        <f>VLOOKUP(A246,[1]Datasheet_2!$A$2:$H$611,3,FALSE)</f>
        <v>0.2273</v>
      </c>
      <c r="K246" s="9">
        <f>VLOOKUP(A246,[1]Datasheet_2!$A$2:$H$611,4,FALSE)</f>
        <v>0.59</v>
      </c>
      <c r="L246" s="8">
        <f>VLOOKUP(A246,[1]Datasheet_2!$A$2:$H$611,5,FALSE)</f>
        <v>8.9599999999999999E-2</v>
      </c>
      <c r="M246" s="8">
        <f>VLOOKUP(A246,[1]Datasheet_2!$A$2:$H$611,6,FALSE)</f>
        <v>6</v>
      </c>
      <c r="N246" s="8">
        <f>VLOOKUP(A246,[1]Datasheet_2!$A$2:$H$611,7,FALSE)</f>
        <v>46</v>
      </c>
      <c r="O246" s="9">
        <f>VLOOKUP(A246,[1]Datasheet_2!$A$2:$H$611,8,FALSE)</f>
        <v>52</v>
      </c>
    </row>
    <row r="247" spans="1:15" x14ac:dyDescent="0.3">
      <c r="A247" s="4">
        <v>246</v>
      </c>
      <c r="B247" s="5">
        <v>40554</v>
      </c>
      <c r="C247" s="4">
        <v>1</v>
      </c>
      <c r="D247" s="4">
        <v>14</v>
      </c>
      <c r="E247" s="4" t="b">
        <v>0</v>
      </c>
      <c r="F247" s="4">
        <v>2</v>
      </c>
      <c r="G247" s="4">
        <v>2</v>
      </c>
      <c r="H247" s="4">
        <v>0.2</v>
      </c>
      <c r="I247">
        <f>VLOOKUP(A247,[1]Datasheet_2!$A$2:$H$611,2,FALSE)</f>
        <v>245</v>
      </c>
      <c r="J247">
        <f>VLOOKUP(A247,[1]Datasheet_2!$A$2:$H$611,3,FALSE)</f>
        <v>0.2273</v>
      </c>
      <c r="K247" s="9">
        <f>VLOOKUP(A247,[1]Datasheet_2!$A$2:$H$611,4,FALSE)</f>
        <v>0.59</v>
      </c>
      <c r="L247" s="8">
        <f>VLOOKUP(A247,[1]Datasheet_2!$A$2:$H$611,5,FALSE)</f>
        <v>8.9599999999999999E-2</v>
      </c>
      <c r="M247" s="8">
        <f>VLOOKUP(A247,[1]Datasheet_2!$A$2:$H$611,6,FALSE)</f>
        <v>3</v>
      </c>
      <c r="N247" s="8">
        <f>VLOOKUP(A247,[1]Datasheet_2!$A$2:$H$611,7,FALSE)</f>
        <v>60</v>
      </c>
      <c r="O247" s="9">
        <f>VLOOKUP(A247,[1]Datasheet_2!$A$2:$H$611,8,FALSE)</f>
        <v>63</v>
      </c>
    </row>
    <row r="248" spans="1:15" x14ac:dyDescent="0.3">
      <c r="A248" s="4">
        <v>247</v>
      </c>
      <c r="B248" s="5">
        <v>40554</v>
      </c>
      <c r="C248" s="4">
        <v>1</v>
      </c>
      <c r="D248" s="4">
        <v>15</v>
      </c>
      <c r="E248" s="4" t="b">
        <v>0</v>
      </c>
      <c r="F248" s="4">
        <v>2</v>
      </c>
      <c r="G248" s="4">
        <v>2</v>
      </c>
      <c r="H248" s="4">
        <v>0.16</v>
      </c>
      <c r="I248">
        <f>VLOOKUP(A248,[1]Datasheet_2!$A$2:$H$611,2,FALSE)</f>
        <v>246</v>
      </c>
      <c r="J248">
        <f>VLOOKUP(A248,[1]Datasheet_2!$A$2:$H$611,3,FALSE)</f>
        <v>0.19700000000000001</v>
      </c>
      <c r="K248" s="9">
        <f>VLOOKUP(A248,[1]Datasheet_2!$A$2:$H$611,4,FALSE)</f>
        <v>0.8</v>
      </c>
      <c r="L248" s="8">
        <f>VLOOKUP(A248,[1]Datasheet_2!$A$2:$H$611,5,FALSE)</f>
        <v>8.9599999999999999E-2</v>
      </c>
      <c r="M248" s="8">
        <f>VLOOKUP(A248,[1]Datasheet_2!$A$2:$H$611,6,FALSE)</f>
        <v>2</v>
      </c>
      <c r="N248" s="8">
        <f>VLOOKUP(A248,[1]Datasheet_2!$A$2:$H$611,7,FALSE)</f>
        <v>45</v>
      </c>
      <c r="O248" s="9">
        <f>VLOOKUP(A248,[1]Datasheet_2!$A$2:$H$611,8,FALSE)</f>
        <v>47</v>
      </c>
    </row>
    <row r="249" spans="1:15" x14ac:dyDescent="0.3">
      <c r="A249" s="4">
        <v>248</v>
      </c>
      <c r="B249" s="5">
        <v>40554</v>
      </c>
      <c r="C249" s="4">
        <v>1</v>
      </c>
      <c r="D249" s="4">
        <v>16</v>
      </c>
      <c r="E249" s="4" t="b">
        <v>0</v>
      </c>
      <c r="F249" s="4">
        <v>2</v>
      </c>
      <c r="G249" s="4">
        <v>2</v>
      </c>
      <c r="H249" s="4">
        <v>0.16</v>
      </c>
      <c r="I249">
        <f>VLOOKUP(A249,[1]Datasheet_2!$A$2:$H$611,2,FALSE)</f>
        <v>247</v>
      </c>
      <c r="J249">
        <f>VLOOKUP(A249,[1]Datasheet_2!$A$2:$H$611,3,FALSE)</f>
        <v>0.1515</v>
      </c>
      <c r="K249" s="9">
        <f>VLOOKUP(A249,[1]Datasheet_2!$A$2:$H$611,4,FALSE)</f>
        <v>0.86</v>
      </c>
      <c r="L249" s="8">
        <f>VLOOKUP(A249,[1]Datasheet_2!$A$2:$H$611,5,FALSE)</f>
        <v>0.22389999999999999</v>
      </c>
      <c r="M249" s="8">
        <f>VLOOKUP(A249,[1]Datasheet_2!$A$2:$H$611,6,FALSE)</f>
        <v>4</v>
      </c>
      <c r="N249" s="8">
        <f>VLOOKUP(A249,[1]Datasheet_2!$A$2:$H$611,7,FALSE)</f>
        <v>72</v>
      </c>
      <c r="O249" s="9">
        <f>VLOOKUP(A249,[1]Datasheet_2!$A$2:$H$611,8,FALSE)</f>
        <v>76</v>
      </c>
    </row>
    <row r="250" spans="1:15" x14ac:dyDescent="0.3">
      <c r="A250" s="4">
        <v>249</v>
      </c>
      <c r="B250" s="5">
        <v>40554</v>
      </c>
      <c r="C250" s="4">
        <v>1</v>
      </c>
      <c r="D250" s="4">
        <v>17</v>
      </c>
      <c r="E250" s="4" t="b">
        <v>0</v>
      </c>
      <c r="F250" s="4">
        <v>2</v>
      </c>
      <c r="G250" s="4">
        <v>2</v>
      </c>
      <c r="H250" s="4">
        <v>0.16</v>
      </c>
      <c r="I250">
        <f>VLOOKUP(A250,[1]Datasheet_2!$A$2:$H$611,2,FALSE)</f>
        <v>248</v>
      </c>
      <c r="J250">
        <f>VLOOKUP(A250,[1]Datasheet_2!$A$2:$H$611,3,FALSE)</f>
        <v>0.1515</v>
      </c>
      <c r="K250" s="9">
        <f>VLOOKUP(A250,[1]Datasheet_2!$A$2:$H$611,4,FALSE)</f>
        <v>0.86</v>
      </c>
      <c r="L250" s="8">
        <f>VLOOKUP(A250,[1]Datasheet_2!$A$2:$H$611,5,FALSE)</f>
        <v>0.22389999999999999</v>
      </c>
      <c r="M250" s="8">
        <f>VLOOKUP(A250,[1]Datasheet_2!$A$2:$H$611,6,FALSE)</f>
        <v>6</v>
      </c>
      <c r="N250" s="8">
        <f>VLOOKUP(A250,[1]Datasheet_2!$A$2:$H$611,7,FALSE)</f>
        <v>130</v>
      </c>
      <c r="O250" s="9">
        <f>VLOOKUP(A250,[1]Datasheet_2!$A$2:$H$611,8,FALSE)</f>
        <v>136</v>
      </c>
    </row>
    <row r="251" spans="1:15" x14ac:dyDescent="0.3">
      <c r="A251" s="4">
        <v>250</v>
      </c>
      <c r="B251" s="5">
        <v>40554</v>
      </c>
      <c r="C251" s="4">
        <v>1</v>
      </c>
      <c r="D251" s="4">
        <v>18</v>
      </c>
      <c r="E251" s="4" t="b">
        <v>0</v>
      </c>
      <c r="F251" s="4">
        <v>2</v>
      </c>
      <c r="G251" s="4">
        <v>3</v>
      </c>
      <c r="H251" s="4">
        <v>0.16</v>
      </c>
      <c r="I251">
        <f>VLOOKUP(A251,[1]Datasheet_2!$A$2:$H$611,2,FALSE)</f>
        <v>249</v>
      </c>
      <c r="J251">
        <f>VLOOKUP(A251,[1]Datasheet_2!$A$2:$H$611,3,FALSE)</f>
        <v>0.18179999999999999</v>
      </c>
      <c r="K251" s="9">
        <f>VLOOKUP(A251,[1]Datasheet_2!$A$2:$H$611,4,FALSE)</f>
        <v>0.93</v>
      </c>
      <c r="L251" s="8">
        <f>VLOOKUP(A251,[1]Datasheet_2!$A$2:$H$611,5,FALSE)</f>
        <v>0.1045</v>
      </c>
      <c r="M251" s="8">
        <f>VLOOKUP(A251,[1]Datasheet_2!$A$2:$H$611,6,FALSE)</f>
        <v>1</v>
      </c>
      <c r="N251" s="8">
        <f>VLOOKUP(A251,[1]Datasheet_2!$A$2:$H$611,7,FALSE)</f>
        <v>94</v>
      </c>
      <c r="O251" s="9">
        <f>VLOOKUP(A251,[1]Datasheet_2!$A$2:$H$611,8,FALSE)</f>
        <v>95</v>
      </c>
    </row>
    <row r="252" spans="1:15" x14ac:dyDescent="0.3">
      <c r="A252" s="4">
        <v>251</v>
      </c>
      <c r="B252" s="5">
        <v>40554</v>
      </c>
      <c r="C252" s="4">
        <v>1</v>
      </c>
      <c r="D252" s="4">
        <v>19</v>
      </c>
      <c r="E252" s="4" t="b">
        <v>0</v>
      </c>
      <c r="F252" s="4">
        <v>2</v>
      </c>
      <c r="G252" s="4">
        <v>3</v>
      </c>
      <c r="H252" s="4">
        <v>0.16</v>
      </c>
      <c r="I252">
        <f>VLOOKUP(A252,[1]Datasheet_2!$A$2:$H$611,2,FALSE)</f>
        <v>250</v>
      </c>
      <c r="J252">
        <f>VLOOKUP(A252,[1]Datasheet_2!$A$2:$H$611,3,FALSE)</f>
        <v>0.2273</v>
      </c>
      <c r="K252" s="9">
        <f>VLOOKUP(A252,[1]Datasheet_2!$A$2:$H$611,4,FALSE)</f>
        <v>0.93</v>
      </c>
      <c r="L252" s="8">
        <f>VLOOKUP(A252,[1]Datasheet_2!$A$2:$H$611,5,FALSE)</f>
        <v>0</v>
      </c>
      <c r="M252" s="8">
        <f>VLOOKUP(A252,[1]Datasheet_2!$A$2:$H$611,6,FALSE)</f>
        <v>0</v>
      </c>
      <c r="N252" s="8">
        <f>VLOOKUP(A252,[1]Datasheet_2!$A$2:$H$611,7,FALSE)</f>
        <v>51</v>
      </c>
      <c r="O252" s="9">
        <f>VLOOKUP(A252,[1]Datasheet_2!$A$2:$H$611,8,FALSE)</f>
        <v>51</v>
      </c>
    </row>
    <row r="253" spans="1:15" x14ac:dyDescent="0.3">
      <c r="A253" s="4">
        <v>252</v>
      </c>
      <c r="B253" s="5">
        <v>40554</v>
      </c>
      <c r="C253" s="4">
        <v>1</v>
      </c>
      <c r="D253" s="4">
        <v>20</v>
      </c>
      <c r="E253" s="4" t="b">
        <v>0</v>
      </c>
      <c r="F253" s="4">
        <v>2</v>
      </c>
      <c r="G253" s="4">
        <v>3</v>
      </c>
      <c r="H253" s="4">
        <v>0.16</v>
      </c>
      <c r="I253">
        <f>VLOOKUP(A253,[1]Datasheet_2!$A$2:$H$611,2,FALSE)</f>
        <v>251</v>
      </c>
      <c r="J253">
        <f>VLOOKUP(A253,[1]Datasheet_2!$A$2:$H$611,3,FALSE)</f>
        <v>0.1515</v>
      </c>
      <c r="K253" s="9">
        <f>VLOOKUP(A253,[1]Datasheet_2!$A$2:$H$611,4,FALSE)</f>
        <v>0.93</v>
      </c>
      <c r="L253" s="8">
        <f>VLOOKUP(A253,[1]Datasheet_2!$A$2:$H$611,5,FALSE)</f>
        <v>0.19400000000000001</v>
      </c>
      <c r="M253" s="8">
        <f>VLOOKUP(A253,[1]Datasheet_2!$A$2:$H$611,6,FALSE)</f>
        <v>0</v>
      </c>
      <c r="N253" s="8">
        <f>VLOOKUP(A253,[1]Datasheet_2!$A$2:$H$611,7,FALSE)</f>
        <v>32</v>
      </c>
      <c r="O253" s="9">
        <f>VLOOKUP(A253,[1]Datasheet_2!$A$2:$H$611,8,FALSE)</f>
        <v>32</v>
      </c>
    </row>
    <row r="254" spans="1:15" x14ac:dyDescent="0.3">
      <c r="A254" s="4">
        <v>253</v>
      </c>
      <c r="B254" s="5">
        <v>40554</v>
      </c>
      <c r="C254" s="4">
        <v>1</v>
      </c>
      <c r="D254" s="4">
        <v>21</v>
      </c>
      <c r="E254" s="4" t="b">
        <v>0</v>
      </c>
      <c r="F254" s="4">
        <v>2</v>
      </c>
      <c r="G254" s="4">
        <v>3</v>
      </c>
      <c r="H254" s="4">
        <v>0.16</v>
      </c>
      <c r="I254">
        <f>VLOOKUP(A254,[1]Datasheet_2!$A$2:$H$611,2,FALSE)</f>
        <v>252</v>
      </c>
      <c r="J254">
        <f>VLOOKUP(A254,[1]Datasheet_2!$A$2:$H$611,3,FALSE)</f>
        <v>0.19700000000000001</v>
      </c>
      <c r="K254" s="9">
        <f>VLOOKUP(A254,[1]Datasheet_2!$A$2:$H$611,4,FALSE)</f>
        <v>0.86</v>
      </c>
      <c r="L254" s="8">
        <f>VLOOKUP(A254,[1]Datasheet_2!$A$2:$H$611,5,FALSE)</f>
        <v>8.9599999999999999E-2</v>
      </c>
      <c r="M254" s="8">
        <f>VLOOKUP(A254,[1]Datasheet_2!$A$2:$H$611,6,FALSE)</f>
        <v>0</v>
      </c>
      <c r="N254" s="8">
        <f>VLOOKUP(A254,[1]Datasheet_2!$A$2:$H$611,7,FALSE)</f>
        <v>20</v>
      </c>
      <c r="O254" s="9">
        <f>VLOOKUP(A254,[1]Datasheet_2!$A$2:$H$611,8,FALSE)</f>
        <v>20</v>
      </c>
    </row>
    <row r="255" spans="1:15" x14ac:dyDescent="0.3">
      <c r="A255" s="4">
        <v>254</v>
      </c>
      <c r="B255" s="5">
        <v>40554</v>
      </c>
      <c r="C255" s="4">
        <v>1</v>
      </c>
      <c r="D255" s="4">
        <v>22</v>
      </c>
      <c r="E255" s="4" t="b">
        <v>0</v>
      </c>
      <c r="F255" s="4">
        <v>2</v>
      </c>
      <c r="G255" s="4">
        <v>3</v>
      </c>
      <c r="H255" s="4">
        <v>0.16</v>
      </c>
      <c r="I255">
        <f>VLOOKUP(A255,[1]Datasheet_2!$A$2:$H$611,2,FALSE)</f>
        <v>253</v>
      </c>
      <c r="J255">
        <f>VLOOKUP(A255,[1]Datasheet_2!$A$2:$H$611,3,FALSE)</f>
        <v>0.18179999999999999</v>
      </c>
      <c r="K255" s="9">
        <f>VLOOKUP(A255,[1]Datasheet_2!$A$2:$H$611,4,FALSE)</f>
        <v>0.93</v>
      </c>
      <c r="L255" s="8">
        <f>VLOOKUP(A255,[1]Datasheet_2!$A$2:$H$611,5,FALSE)</f>
        <v>0.1045</v>
      </c>
      <c r="M255" s="8">
        <f>VLOOKUP(A255,[1]Datasheet_2!$A$2:$H$611,6,FALSE)</f>
        <v>1</v>
      </c>
      <c r="N255" s="8">
        <f>VLOOKUP(A255,[1]Datasheet_2!$A$2:$H$611,7,FALSE)</f>
        <v>28</v>
      </c>
      <c r="O255" s="9">
        <f>VLOOKUP(A255,[1]Datasheet_2!$A$2:$H$611,8,FALSE)</f>
        <v>29</v>
      </c>
    </row>
    <row r="256" spans="1:15" x14ac:dyDescent="0.3">
      <c r="A256" s="4">
        <v>255</v>
      </c>
      <c r="B256" s="5">
        <v>40554</v>
      </c>
      <c r="C256" s="4">
        <v>1</v>
      </c>
      <c r="D256" s="4">
        <v>23</v>
      </c>
      <c r="E256" s="4" t="b">
        <v>0</v>
      </c>
      <c r="F256" s="4">
        <v>2</v>
      </c>
      <c r="G256" s="4">
        <v>3</v>
      </c>
      <c r="H256" s="4">
        <v>0.16</v>
      </c>
      <c r="I256">
        <f>VLOOKUP(A256,[1]Datasheet_2!$A$2:$H$611,2,FALSE)</f>
        <v>254</v>
      </c>
      <c r="J256">
        <f>VLOOKUP(A256,[1]Datasheet_2!$A$2:$H$611,3,FALSE)</f>
        <v>0.19700000000000001</v>
      </c>
      <c r="K256" s="9">
        <f>VLOOKUP(A256,[1]Datasheet_2!$A$2:$H$611,4,FALSE)</f>
        <v>0.93</v>
      </c>
      <c r="L256" s="8">
        <f>VLOOKUP(A256,[1]Datasheet_2!$A$2:$H$611,5,FALSE)</f>
        <v>8.9599999999999999E-2</v>
      </c>
      <c r="M256" s="8">
        <f>VLOOKUP(A256,[1]Datasheet_2!$A$2:$H$611,6,FALSE)</f>
        <v>1</v>
      </c>
      <c r="N256" s="8">
        <f>VLOOKUP(A256,[1]Datasheet_2!$A$2:$H$611,7,FALSE)</f>
        <v>18</v>
      </c>
      <c r="O256" s="9">
        <f>VLOOKUP(A256,[1]Datasheet_2!$A$2:$H$611,8,FALSE)</f>
        <v>19</v>
      </c>
    </row>
    <row r="257" spans="1:15" x14ac:dyDescent="0.3">
      <c r="A257" s="4">
        <v>256</v>
      </c>
      <c r="B257" s="5">
        <v>40555</v>
      </c>
      <c r="C257" s="4">
        <v>1</v>
      </c>
      <c r="D257" s="4">
        <v>0</v>
      </c>
      <c r="E257" s="4" t="b">
        <v>0</v>
      </c>
      <c r="F257" s="4">
        <v>3</v>
      </c>
      <c r="G257" s="4">
        <v>2</v>
      </c>
      <c r="H257" s="4">
        <v>0.16</v>
      </c>
      <c r="I257">
        <f>VLOOKUP(A257,[1]Datasheet_2!$A$2:$H$611,2,FALSE)</f>
        <v>255</v>
      </c>
      <c r="J257">
        <f>VLOOKUP(A257,[1]Datasheet_2!$A$2:$H$611,3,FALSE)</f>
        <v>0.19700000000000001</v>
      </c>
      <c r="K257" s="9">
        <f>VLOOKUP(A257,[1]Datasheet_2!$A$2:$H$611,4,FALSE)</f>
        <v>0.86</v>
      </c>
      <c r="L257" s="8">
        <f>VLOOKUP(A257,[1]Datasheet_2!$A$2:$H$611,5,FALSE)</f>
        <v>8.9599999999999999E-2</v>
      </c>
      <c r="M257" s="8">
        <f>VLOOKUP(A257,[1]Datasheet_2!$A$2:$H$611,6,FALSE)</f>
        <v>0</v>
      </c>
      <c r="N257" s="8">
        <f>VLOOKUP(A257,[1]Datasheet_2!$A$2:$H$611,7,FALSE)</f>
        <v>7</v>
      </c>
      <c r="O257" s="9">
        <f>VLOOKUP(A257,[1]Datasheet_2!$A$2:$H$611,8,FALSE)</f>
        <v>7</v>
      </c>
    </row>
    <row r="258" spans="1:15" x14ac:dyDescent="0.3">
      <c r="A258" s="4">
        <v>257</v>
      </c>
      <c r="B258" s="5">
        <v>40555</v>
      </c>
      <c r="C258" s="4">
        <v>1</v>
      </c>
      <c r="D258" s="4">
        <v>1</v>
      </c>
      <c r="E258" s="4" t="b">
        <v>0</v>
      </c>
      <c r="F258" s="4">
        <v>3</v>
      </c>
      <c r="G258" s="4">
        <v>2</v>
      </c>
      <c r="H258" s="4">
        <v>0.16</v>
      </c>
      <c r="I258">
        <f>VLOOKUP(A258,[1]Datasheet_2!$A$2:$H$611,2,FALSE)</f>
        <v>256</v>
      </c>
      <c r="J258">
        <f>VLOOKUP(A258,[1]Datasheet_2!$A$2:$H$611,3,FALSE)</f>
        <v>0.18179999999999999</v>
      </c>
      <c r="K258" s="9">
        <f>VLOOKUP(A258,[1]Datasheet_2!$A$2:$H$611,4,FALSE)</f>
        <v>0.86</v>
      </c>
      <c r="L258" s="8">
        <f>VLOOKUP(A258,[1]Datasheet_2!$A$2:$H$611,5,FALSE)</f>
        <v>0.1045</v>
      </c>
      <c r="M258" s="8">
        <f>VLOOKUP(A258,[1]Datasheet_2!$A$2:$H$611,6,FALSE)</f>
        <v>0</v>
      </c>
      <c r="N258" s="8">
        <f>VLOOKUP(A258,[1]Datasheet_2!$A$2:$H$611,7,FALSE)</f>
        <v>6</v>
      </c>
      <c r="O258" s="9">
        <f>VLOOKUP(A258,[1]Datasheet_2!$A$2:$H$611,8,FALSE)</f>
        <v>6</v>
      </c>
    </row>
    <row r="259" spans="1:15" x14ac:dyDescent="0.3">
      <c r="A259" s="4">
        <v>258</v>
      </c>
      <c r="B259" s="5">
        <v>40555</v>
      </c>
      <c r="C259" s="4">
        <v>1</v>
      </c>
      <c r="D259" s="4">
        <v>2</v>
      </c>
      <c r="E259" s="4" t="b">
        <v>0</v>
      </c>
      <c r="F259" s="4">
        <v>3</v>
      </c>
      <c r="G259" s="4">
        <v>1</v>
      </c>
      <c r="H259" s="4">
        <v>0.14000000000000001</v>
      </c>
      <c r="I259">
        <f>VLOOKUP(A259,[1]Datasheet_2!$A$2:$H$611,2,FALSE)</f>
        <v>257</v>
      </c>
      <c r="J259">
        <f>VLOOKUP(A259,[1]Datasheet_2!$A$2:$H$611,3,FALSE)</f>
        <v>0.1515</v>
      </c>
      <c r="K259" s="9">
        <f>VLOOKUP(A259,[1]Datasheet_2!$A$2:$H$611,4,FALSE)</f>
        <v>0.86</v>
      </c>
      <c r="L259" s="8">
        <f>VLOOKUP(A259,[1]Datasheet_2!$A$2:$H$611,5,FALSE)</f>
        <v>0.1343</v>
      </c>
      <c r="M259" s="8">
        <f>VLOOKUP(A259,[1]Datasheet_2!$A$2:$H$611,6,FALSE)</f>
        <v>0</v>
      </c>
      <c r="N259" s="8">
        <f>VLOOKUP(A259,[1]Datasheet_2!$A$2:$H$611,7,FALSE)</f>
        <v>1</v>
      </c>
      <c r="O259" s="9">
        <f>VLOOKUP(A259,[1]Datasheet_2!$A$2:$H$611,8,FALSE)</f>
        <v>1</v>
      </c>
    </row>
    <row r="260" spans="1:15" x14ac:dyDescent="0.3">
      <c r="A260" s="4">
        <v>259</v>
      </c>
      <c r="B260" s="5">
        <v>40555</v>
      </c>
      <c r="C260" s="4">
        <v>1</v>
      </c>
      <c r="D260" s="4">
        <v>5</v>
      </c>
      <c r="E260" s="4" t="b">
        <v>0</v>
      </c>
      <c r="F260" s="4">
        <v>3</v>
      </c>
      <c r="G260" s="4">
        <v>1</v>
      </c>
      <c r="H260" s="4">
        <v>0.14000000000000001</v>
      </c>
      <c r="I260">
        <f>VLOOKUP(A260,[1]Datasheet_2!$A$2:$H$611,2,FALSE)</f>
        <v>258</v>
      </c>
      <c r="J260">
        <f>VLOOKUP(A260,[1]Datasheet_2!$A$2:$H$611,3,FALSE)</f>
        <v>0.1515</v>
      </c>
      <c r="K260" s="9">
        <f>VLOOKUP(A260,[1]Datasheet_2!$A$2:$H$611,4,FALSE)</f>
        <v>0.86</v>
      </c>
      <c r="L260" s="8">
        <f>VLOOKUP(A260,[1]Datasheet_2!$A$2:$H$611,5,FALSE)</f>
        <v>0.16420000000000001</v>
      </c>
      <c r="M260" s="8">
        <f>VLOOKUP(A260,[1]Datasheet_2!$A$2:$H$611,6,FALSE)</f>
        <v>0</v>
      </c>
      <c r="N260" s="8">
        <f>VLOOKUP(A260,[1]Datasheet_2!$A$2:$H$611,7,FALSE)</f>
        <v>5</v>
      </c>
      <c r="O260" s="9">
        <f>VLOOKUP(A260,[1]Datasheet_2!$A$2:$H$611,8,FALSE)</f>
        <v>5</v>
      </c>
    </row>
    <row r="261" spans="1:15" x14ac:dyDescent="0.3">
      <c r="A261" s="4">
        <v>260</v>
      </c>
      <c r="B261" s="5">
        <v>40555</v>
      </c>
      <c r="C261" s="4">
        <v>1</v>
      </c>
      <c r="D261" s="4">
        <v>6</v>
      </c>
      <c r="E261" s="4" t="b">
        <v>0</v>
      </c>
      <c r="F261" s="4">
        <v>3</v>
      </c>
      <c r="G261" s="4">
        <v>1</v>
      </c>
      <c r="H261" s="4">
        <v>0.12</v>
      </c>
      <c r="I261">
        <f>VLOOKUP(A261,[1]Datasheet_2!$A$2:$H$611,2,FALSE)</f>
        <v>259</v>
      </c>
      <c r="J261">
        <f>VLOOKUP(A261,[1]Datasheet_2!$A$2:$H$611,3,FALSE)</f>
        <v>0.1515</v>
      </c>
      <c r="K261" s="9">
        <f>VLOOKUP(A261,[1]Datasheet_2!$A$2:$H$611,4,FALSE)</f>
        <v>0.93</v>
      </c>
      <c r="L261" s="8">
        <f>VLOOKUP(A261,[1]Datasheet_2!$A$2:$H$611,5,FALSE)</f>
        <v>0.1343</v>
      </c>
      <c r="M261" s="8">
        <f>VLOOKUP(A261,[1]Datasheet_2!$A$2:$H$611,6,FALSE)</f>
        <v>0</v>
      </c>
      <c r="N261" s="8">
        <f>VLOOKUP(A261,[1]Datasheet_2!$A$2:$H$611,7,FALSE)</f>
        <v>16</v>
      </c>
      <c r="O261" s="9">
        <f>VLOOKUP(A261,[1]Datasheet_2!$A$2:$H$611,8,FALSE)</f>
        <v>16</v>
      </c>
    </row>
    <row r="262" spans="1:15" x14ac:dyDescent="0.3">
      <c r="A262" s="4">
        <v>261</v>
      </c>
      <c r="B262" s="5">
        <v>40555</v>
      </c>
      <c r="C262" s="4">
        <v>1</v>
      </c>
      <c r="D262" s="4">
        <v>7</v>
      </c>
      <c r="E262" s="4" t="b">
        <v>0</v>
      </c>
      <c r="F262" s="4">
        <v>3</v>
      </c>
      <c r="G262" s="4">
        <v>1</v>
      </c>
      <c r="H262" s="4">
        <v>0.14000000000000001</v>
      </c>
      <c r="I262">
        <f>VLOOKUP(A262,[1]Datasheet_2!$A$2:$H$611,2,FALSE)</f>
        <v>260</v>
      </c>
      <c r="J262">
        <f>VLOOKUP(A262,[1]Datasheet_2!$A$2:$H$611,3,FALSE)</f>
        <v>0.1515</v>
      </c>
      <c r="K262" s="9">
        <f>VLOOKUP(A262,[1]Datasheet_2!$A$2:$H$611,4,FALSE)</f>
        <v>0.69</v>
      </c>
      <c r="L262" s="8">
        <f>VLOOKUP(A262,[1]Datasheet_2!$A$2:$H$611,5,FALSE)</f>
        <v>0.1343</v>
      </c>
      <c r="M262" s="8">
        <f>VLOOKUP(A262,[1]Datasheet_2!$A$2:$H$611,6,FALSE)</f>
        <v>0</v>
      </c>
      <c r="N262" s="8">
        <f>VLOOKUP(A262,[1]Datasheet_2!$A$2:$H$611,7,FALSE)</f>
        <v>54</v>
      </c>
      <c r="O262" s="9">
        <f>VLOOKUP(A262,[1]Datasheet_2!$A$2:$H$611,8,FALSE)</f>
        <v>54</v>
      </c>
    </row>
    <row r="263" spans="1:15" x14ac:dyDescent="0.3">
      <c r="A263" s="4">
        <v>262</v>
      </c>
      <c r="B263" s="5">
        <v>40555</v>
      </c>
      <c r="C263" s="4">
        <v>1</v>
      </c>
      <c r="D263" s="4">
        <v>8</v>
      </c>
      <c r="E263" s="4" t="b">
        <v>0</v>
      </c>
      <c r="F263" s="4">
        <v>3</v>
      </c>
      <c r="G263" s="4">
        <v>1</v>
      </c>
      <c r="H263" s="4">
        <v>0.16</v>
      </c>
      <c r="I263">
        <f>VLOOKUP(A263,[1]Datasheet_2!$A$2:$H$611,2,FALSE)</f>
        <v>261</v>
      </c>
      <c r="J263">
        <f>VLOOKUP(A263,[1]Datasheet_2!$A$2:$H$611,3,FALSE)</f>
        <v>0.16669999999999999</v>
      </c>
      <c r="K263" s="9">
        <f>VLOOKUP(A263,[1]Datasheet_2!$A$2:$H$611,4,FALSE)</f>
        <v>0.59</v>
      </c>
      <c r="L263" s="8">
        <f>VLOOKUP(A263,[1]Datasheet_2!$A$2:$H$611,5,FALSE)</f>
        <v>0.16420000000000001</v>
      </c>
      <c r="M263" s="8">
        <f>VLOOKUP(A263,[1]Datasheet_2!$A$2:$H$611,6,FALSE)</f>
        <v>3</v>
      </c>
      <c r="N263" s="8">
        <f>VLOOKUP(A263,[1]Datasheet_2!$A$2:$H$611,7,FALSE)</f>
        <v>125</v>
      </c>
      <c r="O263" s="9">
        <f>VLOOKUP(A263,[1]Datasheet_2!$A$2:$H$611,8,FALSE)</f>
        <v>128</v>
      </c>
    </row>
    <row r="264" spans="1:15" x14ac:dyDescent="0.3">
      <c r="A264" s="4">
        <v>263</v>
      </c>
      <c r="B264" s="5">
        <v>40555</v>
      </c>
      <c r="C264" s="4">
        <v>1</v>
      </c>
      <c r="D264" s="4">
        <v>9</v>
      </c>
      <c r="E264" s="4" t="b">
        <v>0</v>
      </c>
      <c r="F264" s="4">
        <v>3</v>
      </c>
      <c r="G264" s="4">
        <v>1</v>
      </c>
      <c r="H264" s="4">
        <v>0.16</v>
      </c>
      <c r="I264">
        <f>VLOOKUP(A264,[1]Datasheet_2!$A$2:$H$611,2,FALSE)</f>
        <v>262</v>
      </c>
      <c r="J264">
        <f>VLOOKUP(A264,[1]Datasheet_2!$A$2:$H$611,3,FALSE)</f>
        <v>0.13639999999999999</v>
      </c>
      <c r="K264" s="9">
        <f>VLOOKUP(A264,[1]Datasheet_2!$A$2:$H$611,4,FALSE)</f>
        <v>0.59</v>
      </c>
      <c r="L264" s="8">
        <f>VLOOKUP(A264,[1]Datasheet_2!$A$2:$H$611,5,FALSE)</f>
        <v>0.32840000000000003</v>
      </c>
      <c r="M264" s="8">
        <f>VLOOKUP(A264,[1]Datasheet_2!$A$2:$H$611,6,FALSE)</f>
        <v>3</v>
      </c>
      <c r="N264" s="8">
        <f>VLOOKUP(A264,[1]Datasheet_2!$A$2:$H$611,7,FALSE)</f>
        <v>78</v>
      </c>
      <c r="O264" s="9">
        <f>VLOOKUP(A264,[1]Datasheet_2!$A$2:$H$611,8,FALSE)</f>
        <v>81</v>
      </c>
    </row>
    <row r="265" spans="1:15" x14ac:dyDescent="0.3">
      <c r="A265" s="4">
        <v>264</v>
      </c>
      <c r="B265" s="5">
        <v>40555</v>
      </c>
      <c r="C265" s="4">
        <v>1</v>
      </c>
      <c r="D265" s="4">
        <v>10</v>
      </c>
      <c r="E265" s="4" t="b">
        <v>0</v>
      </c>
      <c r="F265" s="4">
        <v>3</v>
      </c>
      <c r="G265" s="4">
        <v>1</v>
      </c>
      <c r="H265" s="4">
        <v>0.18</v>
      </c>
      <c r="I265">
        <f>VLOOKUP(A265,[1]Datasheet_2!$A$2:$H$611,2,FALSE)</f>
        <v>263</v>
      </c>
      <c r="J265">
        <f>VLOOKUP(A265,[1]Datasheet_2!$A$2:$H$611,3,FALSE)</f>
        <v>0.18179999999999999</v>
      </c>
      <c r="K265" s="9">
        <f>VLOOKUP(A265,[1]Datasheet_2!$A$2:$H$611,4,FALSE)</f>
        <v>0.55000000000000004</v>
      </c>
      <c r="L265" s="8">
        <f>VLOOKUP(A265,[1]Datasheet_2!$A$2:$H$611,5,FALSE)</f>
        <v>0.22389999999999999</v>
      </c>
      <c r="M265" s="8">
        <f>VLOOKUP(A265,[1]Datasheet_2!$A$2:$H$611,6,FALSE)</f>
        <v>0</v>
      </c>
      <c r="N265" s="8">
        <f>VLOOKUP(A265,[1]Datasheet_2!$A$2:$H$611,7,FALSE)</f>
        <v>39</v>
      </c>
      <c r="O265" s="9">
        <f>VLOOKUP(A265,[1]Datasheet_2!$A$2:$H$611,8,FALSE)</f>
        <v>39</v>
      </c>
    </row>
    <row r="266" spans="1:15" x14ac:dyDescent="0.3">
      <c r="A266" s="4">
        <v>265</v>
      </c>
      <c r="B266" s="5">
        <v>40555</v>
      </c>
      <c r="C266" s="4">
        <v>1</v>
      </c>
      <c r="D266" s="4">
        <v>11</v>
      </c>
      <c r="E266" s="4" t="b">
        <v>0</v>
      </c>
      <c r="F266" s="4">
        <v>3</v>
      </c>
      <c r="G266" s="4">
        <v>1</v>
      </c>
      <c r="H266" s="4">
        <v>0.2</v>
      </c>
      <c r="I266">
        <f>VLOOKUP(A266,[1]Datasheet_2!$A$2:$H$611,2,FALSE)</f>
        <v>264</v>
      </c>
      <c r="J266">
        <f>VLOOKUP(A266,[1]Datasheet_2!$A$2:$H$611,3,FALSE)</f>
        <v>0.18179999999999999</v>
      </c>
      <c r="K266" s="9">
        <f>VLOOKUP(A266,[1]Datasheet_2!$A$2:$H$611,4,FALSE)</f>
        <v>0.51</v>
      </c>
      <c r="L266" s="8">
        <f>VLOOKUP(A266,[1]Datasheet_2!$A$2:$H$611,5,FALSE)</f>
        <v>0.3881</v>
      </c>
      <c r="M266" s="8">
        <f>VLOOKUP(A266,[1]Datasheet_2!$A$2:$H$611,6,FALSE)</f>
        <v>3</v>
      </c>
      <c r="N266" s="8">
        <f>VLOOKUP(A266,[1]Datasheet_2!$A$2:$H$611,7,FALSE)</f>
        <v>32</v>
      </c>
      <c r="O266" s="9">
        <f>VLOOKUP(A266,[1]Datasheet_2!$A$2:$H$611,8,FALSE)</f>
        <v>35</v>
      </c>
    </row>
    <row r="267" spans="1:15" x14ac:dyDescent="0.3">
      <c r="A267" s="4">
        <v>266</v>
      </c>
      <c r="B267" s="5">
        <v>40555</v>
      </c>
      <c r="C267" s="4">
        <v>1</v>
      </c>
      <c r="D267" s="4">
        <v>12</v>
      </c>
      <c r="E267" s="4" t="b">
        <v>0</v>
      </c>
      <c r="F267" s="4">
        <v>3</v>
      </c>
      <c r="G267" s="4">
        <v>1</v>
      </c>
      <c r="H267" s="4">
        <v>0.2</v>
      </c>
      <c r="I267">
        <f>VLOOKUP(A267,[1]Datasheet_2!$A$2:$H$611,2,FALSE)</f>
        <v>265</v>
      </c>
      <c r="J267">
        <f>VLOOKUP(A267,[1]Datasheet_2!$A$2:$H$611,3,FALSE)</f>
        <v>0.1515</v>
      </c>
      <c r="K267" s="9">
        <f>VLOOKUP(A267,[1]Datasheet_2!$A$2:$H$611,4,FALSE)</f>
        <v>0.47</v>
      </c>
      <c r="L267" s="8">
        <f>VLOOKUP(A267,[1]Datasheet_2!$A$2:$H$611,5,FALSE)</f>
        <v>0.58209999999999995</v>
      </c>
      <c r="M267" s="8">
        <f>VLOOKUP(A267,[1]Datasheet_2!$A$2:$H$611,6,FALSE)</f>
        <v>3</v>
      </c>
      <c r="N267" s="8">
        <f>VLOOKUP(A267,[1]Datasheet_2!$A$2:$H$611,7,FALSE)</f>
        <v>52</v>
      </c>
      <c r="O267" s="9">
        <f>VLOOKUP(A267,[1]Datasheet_2!$A$2:$H$611,8,FALSE)</f>
        <v>55</v>
      </c>
    </row>
    <row r="268" spans="1:15" x14ac:dyDescent="0.3">
      <c r="A268" s="4">
        <v>267</v>
      </c>
      <c r="B268" s="5">
        <v>40555</v>
      </c>
      <c r="C268" s="4">
        <v>1</v>
      </c>
      <c r="D268" s="4">
        <v>13</v>
      </c>
      <c r="E268" s="4" t="b">
        <v>0</v>
      </c>
      <c r="F268" s="4">
        <v>3</v>
      </c>
      <c r="G268" s="4">
        <v>1</v>
      </c>
      <c r="H268" s="4">
        <v>0.22</v>
      </c>
      <c r="I268">
        <f>VLOOKUP(A268,[1]Datasheet_2!$A$2:$H$611,2,FALSE)</f>
        <v>266</v>
      </c>
      <c r="J268">
        <f>VLOOKUP(A268,[1]Datasheet_2!$A$2:$H$611,3,FALSE)</f>
        <v>0.19700000000000001</v>
      </c>
      <c r="K268" s="9">
        <f>VLOOKUP(A268,[1]Datasheet_2!$A$2:$H$611,4,FALSE)</f>
        <v>0.44</v>
      </c>
      <c r="L268" s="8">
        <f>VLOOKUP(A268,[1]Datasheet_2!$A$2:$H$611,5,FALSE)</f>
        <v>0.35820000000000002</v>
      </c>
      <c r="M268" s="8">
        <f>VLOOKUP(A268,[1]Datasheet_2!$A$2:$H$611,6,FALSE)</f>
        <v>0</v>
      </c>
      <c r="N268" s="8">
        <f>VLOOKUP(A268,[1]Datasheet_2!$A$2:$H$611,7,FALSE)</f>
        <v>49</v>
      </c>
      <c r="O268" s="9">
        <f>VLOOKUP(A268,[1]Datasheet_2!$A$2:$H$611,8,FALSE)</f>
        <v>49</v>
      </c>
    </row>
    <row r="269" spans="1:15" x14ac:dyDescent="0.3">
      <c r="A269" s="4">
        <v>268</v>
      </c>
      <c r="B269" s="5">
        <v>40555</v>
      </c>
      <c r="C269" s="4">
        <v>1</v>
      </c>
      <c r="D269" s="4">
        <v>14</v>
      </c>
      <c r="E269" s="4" t="b">
        <v>0</v>
      </c>
      <c r="F269" s="4">
        <v>3</v>
      </c>
      <c r="G269" s="4">
        <v>1</v>
      </c>
      <c r="H269" s="4">
        <v>0.2</v>
      </c>
      <c r="I269">
        <f>VLOOKUP(A269,[1]Datasheet_2!$A$2:$H$611,2,FALSE)</f>
        <v>267</v>
      </c>
      <c r="J269">
        <f>VLOOKUP(A269,[1]Datasheet_2!$A$2:$H$611,3,FALSE)</f>
        <v>0.18179999999999999</v>
      </c>
      <c r="K269" s="9">
        <f>VLOOKUP(A269,[1]Datasheet_2!$A$2:$H$611,4,FALSE)</f>
        <v>0.47</v>
      </c>
      <c r="L269" s="8">
        <f>VLOOKUP(A269,[1]Datasheet_2!$A$2:$H$611,5,FALSE)</f>
        <v>0.32840000000000003</v>
      </c>
      <c r="M269" s="8">
        <f>VLOOKUP(A269,[1]Datasheet_2!$A$2:$H$611,6,FALSE)</f>
        <v>0</v>
      </c>
      <c r="N269" s="8">
        <f>VLOOKUP(A269,[1]Datasheet_2!$A$2:$H$611,7,FALSE)</f>
        <v>44</v>
      </c>
      <c r="O269" s="9">
        <f>VLOOKUP(A269,[1]Datasheet_2!$A$2:$H$611,8,FALSE)</f>
        <v>44</v>
      </c>
    </row>
    <row r="270" spans="1:15" x14ac:dyDescent="0.3">
      <c r="A270" s="4">
        <v>269</v>
      </c>
      <c r="B270" s="5">
        <v>40555</v>
      </c>
      <c r="C270" s="4">
        <v>1</v>
      </c>
      <c r="D270" s="4">
        <v>15</v>
      </c>
      <c r="E270" s="4" t="b">
        <v>0</v>
      </c>
      <c r="F270" s="4">
        <v>3</v>
      </c>
      <c r="G270" s="4">
        <v>1</v>
      </c>
      <c r="H270" s="4">
        <v>0.2</v>
      </c>
      <c r="I270">
        <f>VLOOKUP(A270,[1]Datasheet_2!$A$2:$H$611,2,FALSE)</f>
        <v>268</v>
      </c>
      <c r="J270">
        <f>VLOOKUP(A270,[1]Datasheet_2!$A$2:$H$611,3,FALSE)</f>
        <v>0.16669999999999999</v>
      </c>
      <c r="K270" s="9">
        <f>VLOOKUP(A270,[1]Datasheet_2!$A$2:$H$611,4,FALSE)</f>
        <v>0.47</v>
      </c>
      <c r="L270" s="8">
        <f>VLOOKUP(A270,[1]Datasheet_2!$A$2:$H$611,5,FALSE)</f>
        <v>0.41789999999999999</v>
      </c>
      <c r="M270" s="8">
        <f>VLOOKUP(A270,[1]Datasheet_2!$A$2:$H$611,6,FALSE)</f>
        <v>1</v>
      </c>
      <c r="N270" s="8">
        <f>VLOOKUP(A270,[1]Datasheet_2!$A$2:$H$611,7,FALSE)</f>
        <v>48</v>
      </c>
      <c r="O270" s="9">
        <f>VLOOKUP(A270,[1]Datasheet_2!$A$2:$H$611,8,FALSE)</f>
        <v>49</v>
      </c>
    </row>
    <row r="271" spans="1:15" x14ac:dyDescent="0.3">
      <c r="A271" s="4">
        <v>270</v>
      </c>
      <c r="B271" s="5">
        <v>40555</v>
      </c>
      <c r="C271" s="4">
        <v>1</v>
      </c>
      <c r="D271" s="4">
        <v>16</v>
      </c>
      <c r="E271" s="4" t="b">
        <v>0</v>
      </c>
      <c r="F271" s="4">
        <v>3</v>
      </c>
      <c r="G271" s="4">
        <v>1</v>
      </c>
      <c r="H271" s="4">
        <v>0.22</v>
      </c>
      <c r="I271">
        <f>VLOOKUP(A271,[1]Datasheet_2!$A$2:$H$611,2,FALSE)</f>
        <v>269</v>
      </c>
      <c r="J271">
        <f>VLOOKUP(A271,[1]Datasheet_2!$A$2:$H$611,3,FALSE)</f>
        <v>0.19700000000000001</v>
      </c>
      <c r="K271" s="9">
        <f>VLOOKUP(A271,[1]Datasheet_2!$A$2:$H$611,4,FALSE)</f>
        <v>0.44</v>
      </c>
      <c r="L271" s="8">
        <f>VLOOKUP(A271,[1]Datasheet_2!$A$2:$H$611,5,FALSE)</f>
        <v>0.32840000000000003</v>
      </c>
      <c r="M271" s="8">
        <f>VLOOKUP(A271,[1]Datasheet_2!$A$2:$H$611,6,FALSE)</f>
        <v>5</v>
      </c>
      <c r="N271" s="8">
        <f>VLOOKUP(A271,[1]Datasheet_2!$A$2:$H$611,7,FALSE)</f>
        <v>63</v>
      </c>
      <c r="O271" s="9">
        <f>VLOOKUP(A271,[1]Datasheet_2!$A$2:$H$611,8,FALSE)</f>
        <v>68</v>
      </c>
    </row>
    <row r="272" spans="1:15" x14ac:dyDescent="0.3">
      <c r="A272" s="4">
        <v>271</v>
      </c>
      <c r="B272" s="5">
        <v>40555</v>
      </c>
      <c r="C272" s="4">
        <v>1</v>
      </c>
      <c r="D272" s="4">
        <v>17</v>
      </c>
      <c r="E272" s="4" t="b">
        <v>0</v>
      </c>
      <c r="F272" s="4">
        <v>3</v>
      </c>
      <c r="G272" s="4">
        <v>1</v>
      </c>
      <c r="H272" s="4">
        <v>0.2</v>
      </c>
      <c r="I272">
        <f>VLOOKUP(A272,[1]Datasheet_2!$A$2:$H$611,2,FALSE)</f>
        <v>270</v>
      </c>
      <c r="J272">
        <f>VLOOKUP(A272,[1]Datasheet_2!$A$2:$H$611,3,FALSE)</f>
        <v>0.18179999999999999</v>
      </c>
      <c r="K272" s="9">
        <f>VLOOKUP(A272,[1]Datasheet_2!$A$2:$H$611,4,FALSE)</f>
        <v>0.47</v>
      </c>
      <c r="L272" s="8">
        <f>VLOOKUP(A272,[1]Datasheet_2!$A$2:$H$611,5,FALSE)</f>
        <v>0.35820000000000002</v>
      </c>
      <c r="M272" s="8">
        <f>VLOOKUP(A272,[1]Datasheet_2!$A$2:$H$611,6,FALSE)</f>
        <v>0</v>
      </c>
      <c r="N272" s="8">
        <f>VLOOKUP(A272,[1]Datasheet_2!$A$2:$H$611,7,FALSE)</f>
        <v>139</v>
      </c>
      <c r="O272" s="9">
        <f>VLOOKUP(A272,[1]Datasheet_2!$A$2:$H$611,8,FALSE)</f>
        <v>139</v>
      </c>
    </row>
    <row r="273" spans="1:15" x14ac:dyDescent="0.3">
      <c r="A273" s="4">
        <v>272</v>
      </c>
      <c r="B273" s="5">
        <v>40555</v>
      </c>
      <c r="C273" s="4">
        <v>1</v>
      </c>
      <c r="D273" s="4">
        <v>18</v>
      </c>
      <c r="E273" s="4" t="b">
        <v>0</v>
      </c>
      <c r="F273" s="4">
        <v>3</v>
      </c>
      <c r="G273" s="4">
        <v>1</v>
      </c>
      <c r="H273" s="4">
        <v>0.2</v>
      </c>
      <c r="I273">
        <f>VLOOKUP(A273,[1]Datasheet_2!$A$2:$H$611,2,FALSE)</f>
        <v>271</v>
      </c>
      <c r="J273">
        <f>VLOOKUP(A273,[1]Datasheet_2!$A$2:$H$611,3,FALSE)</f>
        <v>0.1515</v>
      </c>
      <c r="K273" s="9">
        <f>VLOOKUP(A273,[1]Datasheet_2!$A$2:$H$611,4,FALSE)</f>
        <v>0.47</v>
      </c>
      <c r="L273" s="8">
        <f>VLOOKUP(A273,[1]Datasheet_2!$A$2:$H$611,5,FALSE)</f>
        <v>0.52239999999999998</v>
      </c>
      <c r="M273" s="8">
        <f>VLOOKUP(A273,[1]Datasheet_2!$A$2:$H$611,6,FALSE)</f>
        <v>2</v>
      </c>
      <c r="N273" s="8">
        <f>VLOOKUP(A273,[1]Datasheet_2!$A$2:$H$611,7,FALSE)</f>
        <v>135</v>
      </c>
      <c r="O273" s="9">
        <f>VLOOKUP(A273,[1]Datasheet_2!$A$2:$H$611,8,FALSE)</f>
        <v>137</v>
      </c>
    </row>
    <row r="274" spans="1:15" x14ac:dyDescent="0.3">
      <c r="A274" s="4">
        <v>273</v>
      </c>
      <c r="B274" s="5">
        <v>40555</v>
      </c>
      <c r="C274" s="4">
        <v>1</v>
      </c>
      <c r="D274" s="4">
        <v>19</v>
      </c>
      <c r="E274" s="4" t="b">
        <v>0</v>
      </c>
      <c r="F274" s="4">
        <v>3</v>
      </c>
      <c r="G274" s="4">
        <v>1</v>
      </c>
      <c r="H274" s="4">
        <v>0.18</v>
      </c>
      <c r="I274">
        <f>VLOOKUP(A274,[1]Datasheet_2!$A$2:$H$611,2,FALSE)</f>
        <v>272</v>
      </c>
      <c r="J274">
        <f>VLOOKUP(A274,[1]Datasheet_2!$A$2:$H$611,3,FALSE)</f>
        <v>0.1515</v>
      </c>
      <c r="K274" s="9">
        <f>VLOOKUP(A274,[1]Datasheet_2!$A$2:$H$611,4,FALSE)</f>
        <v>0.47</v>
      </c>
      <c r="L274" s="8">
        <f>VLOOKUP(A274,[1]Datasheet_2!$A$2:$H$611,5,FALSE)</f>
        <v>0.41789999999999999</v>
      </c>
      <c r="M274" s="8">
        <f>VLOOKUP(A274,[1]Datasheet_2!$A$2:$H$611,6,FALSE)</f>
        <v>1</v>
      </c>
      <c r="N274" s="8">
        <f>VLOOKUP(A274,[1]Datasheet_2!$A$2:$H$611,7,FALSE)</f>
        <v>82</v>
      </c>
      <c r="O274" s="9">
        <f>VLOOKUP(A274,[1]Datasheet_2!$A$2:$H$611,8,FALSE)</f>
        <v>83</v>
      </c>
    </row>
    <row r="275" spans="1:15" x14ac:dyDescent="0.3">
      <c r="A275" s="4">
        <v>274</v>
      </c>
      <c r="B275" s="5">
        <v>40555</v>
      </c>
      <c r="C275" s="4">
        <v>1</v>
      </c>
      <c r="D275" s="4">
        <v>20</v>
      </c>
      <c r="E275" s="4" t="b">
        <v>0</v>
      </c>
      <c r="F275" s="4">
        <v>3</v>
      </c>
      <c r="G275" s="4">
        <v>1</v>
      </c>
      <c r="H275" s="4">
        <v>0.16</v>
      </c>
      <c r="I275">
        <f>VLOOKUP(A275,[1]Datasheet_2!$A$2:$H$611,2,FALSE)</f>
        <v>273</v>
      </c>
      <c r="J275">
        <f>VLOOKUP(A275,[1]Datasheet_2!$A$2:$H$611,3,FALSE)</f>
        <v>0.13639999999999999</v>
      </c>
      <c r="K275" s="9">
        <f>VLOOKUP(A275,[1]Datasheet_2!$A$2:$H$611,4,FALSE)</f>
        <v>0.5</v>
      </c>
      <c r="L275" s="8">
        <f>VLOOKUP(A275,[1]Datasheet_2!$A$2:$H$611,5,FALSE)</f>
        <v>0.32840000000000003</v>
      </c>
      <c r="M275" s="8">
        <f>VLOOKUP(A275,[1]Datasheet_2!$A$2:$H$611,6,FALSE)</f>
        <v>2</v>
      </c>
      <c r="N275" s="8">
        <f>VLOOKUP(A275,[1]Datasheet_2!$A$2:$H$611,7,FALSE)</f>
        <v>54</v>
      </c>
      <c r="O275" s="9">
        <f>VLOOKUP(A275,[1]Datasheet_2!$A$2:$H$611,8,FALSE)</f>
        <v>56</v>
      </c>
    </row>
    <row r="276" spans="1:15" x14ac:dyDescent="0.3">
      <c r="A276" s="4">
        <v>275</v>
      </c>
      <c r="B276" s="5">
        <v>40555</v>
      </c>
      <c r="C276" s="4">
        <v>1</v>
      </c>
      <c r="D276" s="4">
        <v>21</v>
      </c>
      <c r="E276" s="4" t="b">
        <v>0</v>
      </c>
      <c r="F276" s="4">
        <v>3</v>
      </c>
      <c r="G276" s="4">
        <v>1</v>
      </c>
      <c r="H276" s="4">
        <v>0.16</v>
      </c>
      <c r="I276">
        <f>VLOOKUP(A276,[1]Datasheet_2!$A$2:$H$611,2,FALSE)</f>
        <v>274</v>
      </c>
      <c r="J276">
        <f>VLOOKUP(A276,[1]Datasheet_2!$A$2:$H$611,3,FALSE)</f>
        <v>0.13639999999999999</v>
      </c>
      <c r="K276" s="9">
        <f>VLOOKUP(A276,[1]Datasheet_2!$A$2:$H$611,4,FALSE)</f>
        <v>0.55000000000000004</v>
      </c>
      <c r="L276" s="8">
        <f>VLOOKUP(A276,[1]Datasheet_2!$A$2:$H$611,5,FALSE)</f>
        <v>0.32840000000000003</v>
      </c>
      <c r="M276" s="8">
        <f>VLOOKUP(A276,[1]Datasheet_2!$A$2:$H$611,6,FALSE)</f>
        <v>0</v>
      </c>
      <c r="N276" s="8">
        <f>VLOOKUP(A276,[1]Datasheet_2!$A$2:$H$611,7,FALSE)</f>
        <v>57</v>
      </c>
      <c r="O276" s="9">
        <f>VLOOKUP(A276,[1]Datasheet_2!$A$2:$H$611,8,FALSE)</f>
        <v>57</v>
      </c>
    </row>
    <row r="277" spans="1:15" x14ac:dyDescent="0.3">
      <c r="A277" s="4">
        <v>276</v>
      </c>
      <c r="B277" s="5">
        <v>40555</v>
      </c>
      <c r="C277" s="4">
        <v>1</v>
      </c>
      <c r="D277" s="4">
        <v>22</v>
      </c>
      <c r="E277" s="4" t="b">
        <v>0</v>
      </c>
      <c r="F277" s="4">
        <v>3</v>
      </c>
      <c r="G277" s="4">
        <v>1</v>
      </c>
      <c r="H277" s="4">
        <v>0.16</v>
      </c>
      <c r="I277">
        <f>VLOOKUP(A277,[1]Datasheet_2!$A$2:$H$611,2,FALSE)</f>
        <v>275</v>
      </c>
      <c r="J277">
        <f>VLOOKUP(A277,[1]Datasheet_2!$A$2:$H$611,3,FALSE)</f>
        <v>0.1212</v>
      </c>
      <c r="K277" s="9">
        <f>VLOOKUP(A277,[1]Datasheet_2!$A$2:$H$611,4,FALSE)</f>
        <v>0.55000000000000004</v>
      </c>
      <c r="L277" s="8">
        <f>VLOOKUP(A277,[1]Datasheet_2!$A$2:$H$611,5,FALSE)</f>
        <v>0.44779999999999998</v>
      </c>
      <c r="M277" s="8">
        <f>VLOOKUP(A277,[1]Datasheet_2!$A$2:$H$611,6,FALSE)</f>
        <v>1</v>
      </c>
      <c r="N277" s="8">
        <f>VLOOKUP(A277,[1]Datasheet_2!$A$2:$H$611,7,FALSE)</f>
        <v>32</v>
      </c>
      <c r="O277" s="9">
        <f>VLOOKUP(A277,[1]Datasheet_2!$A$2:$H$611,8,FALSE)</f>
        <v>33</v>
      </c>
    </row>
    <row r="278" spans="1:15" x14ac:dyDescent="0.3">
      <c r="A278" s="4">
        <v>277</v>
      </c>
      <c r="B278" s="5">
        <v>40555</v>
      </c>
      <c r="C278" s="4">
        <v>1</v>
      </c>
      <c r="D278" s="4">
        <v>23</v>
      </c>
      <c r="E278" s="4" t="b">
        <v>0</v>
      </c>
      <c r="F278" s="4">
        <v>3</v>
      </c>
      <c r="G278" s="4">
        <v>1</v>
      </c>
      <c r="H278" s="4">
        <v>0.14000000000000001</v>
      </c>
      <c r="I278">
        <f>VLOOKUP(A278,[1]Datasheet_2!$A$2:$H$611,2,FALSE)</f>
        <v>276</v>
      </c>
      <c r="J278">
        <f>VLOOKUP(A278,[1]Datasheet_2!$A$2:$H$611,3,FALSE)</f>
        <v>0.1061</v>
      </c>
      <c r="K278" s="9">
        <f>VLOOKUP(A278,[1]Datasheet_2!$A$2:$H$611,4,FALSE)</f>
        <v>0.59</v>
      </c>
      <c r="L278" s="8">
        <f>VLOOKUP(A278,[1]Datasheet_2!$A$2:$H$611,5,FALSE)</f>
        <v>0.41789999999999999</v>
      </c>
      <c r="M278" s="8">
        <f>VLOOKUP(A278,[1]Datasheet_2!$A$2:$H$611,6,FALSE)</f>
        <v>1</v>
      </c>
      <c r="N278" s="8">
        <f>VLOOKUP(A278,[1]Datasheet_2!$A$2:$H$611,7,FALSE)</f>
        <v>19</v>
      </c>
      <c r="O278" s="9">
        <f>VLOOKUP(A278,[1]Datasheet_2!$A$2:$H$611,8,FALSE)</f>
        <v>20</v>
      </c>
    </row>
    <row r="279" spans="1:15" x14ac:dyDescent="0.3">
      <c r="A279" s="4">
        <v>278</v>
      </c>
      <c r="B279" s="5">
        <v>40556</v>
      </c>
      <c r="C279" s="4">
        <v>1</v>
      </c>
      <c r="D279" s="4">
        <v>0</v>
      </c>
      <c r="E279" s="4" t="b">
        <v>0</v>
      </c>
      <c r="F279" s="4">
        <v>4</v>
      </c>
      <c r="G279" s="4">
        <v>1</v>
      </c>
      <c r="H279" s="4">
        <v>0.14000000000000001</v>
      </c>
      <c r="I279">
        <f>VLOOKUP(A279,[1]Datasheet_2!$A$2:$H$611,2,FALSE)</f>
        <v>277</v>
      </c>
      <c r="J279">
        <f>VLOOKUP(A279,[1]Datasheet_2!$A$2:$H$611,3,FALSE)</f>
        <v>0.1212</v>
      </c>
      <c r="K279" s="9">
        <f>VLOOKUP(A279,[1]Datasheet_2!$A$2:$H$611,4,FALSE)</f>
        <v>0.59</v>
      </c>
      <c r="L279" s="8">
        <f>VLOOKUP(A279,[1]Datasheet_2!$A$2:$H$611,5,FALSE)</f>
        <v>0.28360000000000002</v>
      </c>
      <c r="M279" s="8">
        <f>VLOOKUP(A279,[1]Datasheet_2!$A$2:$H$611,6,FALSE)</f>
        <v>1</v>
      </c>
      <c r="N279" s="8">
        <f>VLOOKUP(A279,[1]Datasheet_2!$A$2:$H$611,7,FALSE)</f>
        <v>6</v>
      </c>
      <c r="O279" s="9">
        <f>VLOOKUP(A279,[1]Datasheet_2!$A$2:$H$611,8,FALSE)</f>
        <v>7</v>
      </c>
    </row>
    <row r="280" spans="1:15" x14ac:dyDescent="0.3">
      <c r="A280" s="4">
        <v>279</v>
      </c>
      <c r="B280" s="5">
        <v>40556</v>
      </c>
      <c r="C280" s="4">
        <v>1</v>
      </c>
      <c r="D280" s="4">
        <v>1</v>
      </c>
      <c r="E280" s="4" t="b">
        <v>0</v>
      </c>
      <c r="F280" s="4">
        <v>4</v>
      </c>
      <c r="G280" s="4">
        <v>1</v>
      </c>
      <c r="H280" s="4">
        <v>0.14000000000000001</v>
      </c>
      <c r="I280">
        <f>VLOOKUP(A280,[1]Datasheet_2!$A$2:$H$611,2,FALSE)</f>
        <v>278</v>
      </c>
      <c r="J280">
        <f>VLOOKUP(A280,[1]Datasheet_2!$A$2:$H$611,3,FALSE)</f>
        <v>0.1212</v>
      </c>
      <c r="K280" s="9">
        <f>VLOOKUP(A280,[1]Datasheet_2!$A$2:$H$611,4,FALSE)</f>
        <v>0.5</v>
      </c>
      <c r="L280" s="8">
        <f>VLOOKUP(A280,[1]Datasheet_2!$A$2:$H$611,5,FALSE)</f>
        <v>0.28360000000000002</v>
      </c>
      <c r="M280" s="8">
        <f>VLOOKUP(A280,[1]Datasheet_2!$A$2:$H$611,6,FALSE)</f>
        <v>0</v>
      </c>
      <c r="N280" s="8">
        <f>VLOOKUP(A280,[1]Datasheet_2!$A$2:$H$611,7,FALSE)</f>
        <v>2</v>
      </c>
      <c r="O280" s="9">
        <f>VLOOKUP(A280,[1]Datasheet_2!$A$2:$H$611,8,FALSE)</f>
        <v>2</v>
      </c>
    </row>
    <row r="281" spans="1:15" x14ac:dyDescent="0.3">
      <c r="A281" s="4">
        <v>280</v>
      </c>
      <c r="B281" s="5">
        <v>40556</v>
      </c>
      <c r="C281" s="4">
        <v>1</v>
      </c>
      <c r="D281" s="4">
        <v>2</v>
      </c>
      <c r="E281" s="4" t="b">
        <v>0</v>
      </c>
      <c r="F281" s="4">
        <v>4</v>
      </c>
      <c r="G281" s="4">
        <v>1</v>
      </c>
      <c r="H281" s="4">
        <v>0.14000000000000001</v>
      </c>
      <c r="I281">
        <f>VLOOKUP(A281,[1]Datasheet_2!$A$2:$H$611,2,FALSE)</f>
        <v>279</v>
      </c>
      <c r="J281">
        <f>VLOOKUP(A281,[1]Datasheet_2!$A$2:$H$611,3,FALSE)</f>
        <v>0.1212</v>
      </c>
      <c r="K281" s="9">
        <f>VLOOKUP(A281,[1]Datasheet_2!$A$2:$H$611,4,FALSE)</f>
        <v>0.5</v>
      </c>
      <c r="L281" s="8">
        <f>VLOOKUP(A281,[1]Datasheet_2!$A$2:$H$611,5,FALSE)</f>
        <v>0.35820000000000002</v>
      </c>
      <c r="M281" s="8">
        <f>VLOOKUP(A281,[1]Datasheet_2!$A$2:$H$611,6,FALSE)</f>
        <v>0</v>
      </c>
      <c r="N281" s="8">
        <f>VLOOKUP(A281,[1]Datasheet_2!$A$2:$H$611,7,FALSE)</f>
        <v>2</v>
      </c>
      <c r="O281" s="9">
        <f>VLOOKUP(A281,[1]Datasheet_2!$A$2:$H$611,8,FALSE)</f>
        <v>2</v>
      </c>
    </row>
    <row r="282" spans="1:15" x14ac:dyDescent="0.3">
      <c r="A282" s="4">
        <v>281</v>
      </c>
      <c r="B282" s="5">
        <v>40556</v>
      </c>
      <c r="C282" s="4">
        <v>1</v>
      </c>
      <c r="D282" s="4">
        <v>3</v>
      </c>
      <c r="E282" s="4" t="b">
        <v>0</v>
      </c>
      <c r="F282" s="4">
        <v>4</v>
      </c>
      <c r="G282" s="4">
        <v>1</v>
      </c>
      <c r="H282" s="4">
        <v>0.14000000000000001</v>
      </c>
      <c r="I282">
        <f>VLOOKUP(A282,[1]Datasheet_2!$A$2:$H$611,2,FALSE)</f>
        <v>280</v>
      </c>
      <c r="J282">
        <f>VLOOKUP(A282,[1]Datasheet_2!$A$2:$H$611,3,FALSE)</f>
        <v>0.1212</v>
      </c>
      <c r="K282" s="9">
        <f>VLOOKUP(A282,[1]Datasheet_2!$A$2:$H$611,4,FALSE)</f>
        <v>0.5</v>
      </c>
      <c r="L282" s="8">
        <f>VLOOKUP(A282,[1]Datasheet_2!$A$2:$H$611,5,FALSE)</f>
        <v>0.32840000000000003</v>
      </c>
      <c r="M282" s="8">
        <f>VLOOKUP(A282,[1]Datasheet_2!$A$2:$H$611,6,FALSE)</f>
        <v>0</v>
      </c>
      <c r="N282" s="8">
        <f>VLOOKUP(A282,[1]Datasheet_2!$A$2:$H$611,7,FALSE)</f>
        <v>3</v>
      </c>
      <c r="O282" s="9">
        <f>VLOOKUP(A282,[1]Datasheet_2!$A$2:$H$611,8,FALSE)</f>
        <v>3</v>
      </c>
    </row>
    <row r="283" spans="1:15" x14ac:dyDescent="0.3">
      <c r="A283" s="4">
        <v>282</v>
      </c>
      <c r="B283" s="5">
        <v>40556</v>
      </c>
      <c r="C283" s="4">
        <v>1</v>
      </c>
      <c r="D283" s="4">
        <v>4</v>
      </c>
      <c r="E283" s="4" t="b">
        <v>0</v>
      </c>
      <c r="F283" s="4">
        <v>4</v>
      </c>
      <c r="G283" s="4">
        <v>1</v>
      </c>
      <c r="H283" s="4">
        <v>0.14000000000000001</v>
      </c>
      <c r="I283">
        <f>VLOOKUP(A283,[1]Datasheet_2!$A$2:$H$611,2,FALSE)</f>
        <v>281</v>
      </c>
      <c r="J283">
        <f>VLOOKUP(A283,[1]Datasheet_2!$A$2:$H$611,3,FALSE)</f>
        <v>0.1212</v>
      </c>
      <c r="K283" s="9">
        <f>VLOOKUP(A283,[1]Datasheet_2!$A$2:$H$611,4,FALSE)</f>
        <v>0.5</v>
      </c>
      <c r="L283" s="8">
        <f>VLOOKUP(A283,[1]Datasheet_2!$A$2:$H$611,5,FALSE)</f>
        <v>0.25369999999999998</v>
      </c>
      <c r="M283" s="8">
        <f>VLOOKUP(A283,[1]Datasheet_2!$A$2:$H$611,6,FALSE)</f>
        <v>0</v>
      </c>
      <c r="N283" s="8">
        <f>VLOOKUP(A283,[1]Datasheet_2!$A$2:$H$611,7,FALSE)</f>
        <v>4</v>
      </c>
      <c r="O283" s="9">
        <f>VLOOKUP(A283,[1]Datasheet_2!$A$2:$H$611,8,FALSE)</f>
        <v>4</v>
      </c>
    </row>
    <row r="284" spans="1:15" x14ac:dyDescent="0.3">
      <c r="A284" s="4">
        <v>283</v>
      </c>
      <c r="B284" s="5">
        <v>40556</v>
      </c>
      <c r="C284" s="4">
        <v>1</v>
      </c>
      <c r="D284" s="4">
        <v>5</v>
      </c>
      <c r="E284" s="4" t="b">
        <v>0</v>
      </c>
      <c r="F284" s="4">
        <v>4</v>
      </c>
      <c r="G284" s="4">
        <v>1</v>
      </c>
      <c r="H284" s="4">
        <v>0.14000000000000001</v>
      </c>
      <c r="I284">
        <f>VLOOKUP(A284,[1]Datasheet_2!$A$2:$H$611,2,FALSE)</f>
        <v>282</v>
      </c>
      <c r="J284">
        <f>VLOOKUP(A284,[1]Datasheet_2!$A$2:$H$611,3,FALSE)</f>
        <v>0.1212</v>
      </c>
      <c r="K284" s="9">
        <f>VLOOKUP(A284,[1]Datasheet_2!$A$2:$H$611,4,FALSE)</f>
        <v>0.5</v>
      </c>
      <c r="L284" s="8">
        <f>VLOOKUP(A284,[1]Datasheet_2!$A$2:$H$611,5,FALSE)</f>
        <v>0.29849999999999999</v>
      </c>
      <c r="M284" s="8">
        <f>VLOOKUP(A284,[1]Datasheet_2!$A$2:$H$611,6,FALSE)</f>
        <v>0</v>
      </c>
      <c r="N284" s="8">
        <f>VLOOKUP(A284,[1]Datasheet_2!$A$2:$H$611,7,FALSE)</f>
        <v>3</v>
      </c>
      <c r="O284" s="9">
        <f>VLOOKUP(A284,[1]Datasheet_2!$A$2:$H$611,8,FALSE)</f>
        <v>3</v>
      </c>
    </row>
    <row r="285" spans="1:15" x14ac:dyDescent="0.3">
      <c r="A285" s="4">
        <v>284</v>
      </c>
      <c r="B285" s="5">
        <v>40556</v>
      </c>
      <c r="C285" s="4">
        <v>1</v>
      </c>
      <c r="D285" s="4">
        <v>6</v>
      </c>
      <c r="E285" s="4" t="b">
        <v>0</v>
      </c>
      <c r="F285" s="4">
        <v>4</v>
      </c>
      <c r="G285" s="4">
        <v>1</v>
      </c>
      <c r="H285" s="4">
        <v>0.12</v>
      </c>
      <c r="I285">
        <f>VLOOKUP(A285,[1]Datasheet_2!$A$2:$H$611,2,FALSE)</f>
        <v>283</v>
      </c>
      <c r="J285">
        <f>VLOOKUP(A285,[1]Datasheet_2!$A$2:$H$611,3,FALSE)</f>
        <v>0.1515</v>
      </c>
      <c r="K285" s="9">
        <f>VLOOKUP(A285,[1]Datasheet_2!$A$2:$H$611,4,FALSE)</f>
        <v>0.54</v>
      </c>
      <c r="L285" s="8">
        <f>VLOOKUP(A285,[1]Datasheet_2!$A$2:$H$611,5,FALSE)</f>
        <v>0.1343</v>
      </c>
      <c r="M285" s="8">
        <f>VLOOKUP(A285,[1]Datasheet_2!$A$2:$H$611,6,FALSE)</f>
        <v>0</v>
      </c>
      <c r="N285" s="8">
        <f>VLOOKUP(A285,[1]Datasheet_2!$A$2:$H$611,7,FALSE)</f>
        <v>28</v>
      </c>
      <c r="O285" s="9">
        <f>VLOOKUP(A285,[1]Datasheet_2!$A$2:$H$611,8,FALSE)</f>
        <v>28</v>
      </c>
    </row>
    <row r="286" spans="1:15" x14ac:dyDescent="0.3">
      <c r="A286" s="4">
        <v>285</v>
      </c>
      <c r="B286" s="5">
        <v>40556</v>
      </c>
      <c r="C286" s="4">
        <v>1</v>
      </c>
      <c r="D286" s="4">
        <v>7</v>
      </c>
      <c r="E286" s="4" t="b">
        <v>0</v>
      </c>
      <c r="F286" s="4">
        <v>4</v>
      </c>
      <c r="G286" s="4">
        <v>1</v>
      </c>
      <c r="H286" s="4">
        <v>0.12</v>
      </c>
      <c r="I286">
        <f>VLOOKUP(A286,[1]Datasheet_2!$A$2:$H$611,2,FALSE)</f>
        <v>284</v>
      </c>
      <c r="J286">
        <f>VLOOKUP(A286,[1]Datasheet_2!$A$2:$H$611,3,FALSE)</f>
        <v>0.1515</v>
      </c>
      <c r="K286" s="9">
        <f>VLOOKUP(A286,[1]Datasheet_2!$A$2:$H$611,4,FALSE)</f>
        <v>0.54</v>
      </c>
      <c r="L286" s="8">
        <f>VLOOKUP(A286,[1]Datasheet_2!$A$2:$H$611,5,FALSE)</f>
        <v>0.1343</v>
      </c>
      <c r="M286" s="8">
        <f>VLOOKUP(A286,[1]Datasheet_2!$A$2:$H$611,6,FALSE)</f>
        <v>0</v>
      </c>
      <c r="N286" s="8">
        <f>VLOOKUP(A286,[1]Datasheet_2!$A$2:$H$611,7,FALSE)</f>
        <v>72</v>
      </c>
      <c r="O286" s="9">
        <f>VLOOKUP(A286,[1]Datasheet_2!$A$2:$H$611,8,FALSE)</f>
        <v>72</v>
      </c>
    </row>
    <row r="287" spans="1:15" x14ac:dyDescent="0.3">
      <c r="A287" s="4">
        <v>286</v>
      </c>
      <c r="B287" s="5">
        <v>40556</v>
      </c>
      <c r="C287" s="4">
        <v>1</v>
      </c>
      <c r="D287" s="4">
        <v>8</v>
      </c>
      <c r="E287" s="4" t="b">
        <v>0</v>
      </c>
      <c r="F287" s="4">
        <v>4</v>
      </c>
      <c r="G287" s="4">
        <v>1</v>
      </c>
      <c r="H287" s="4">
        <v>0.14000000000000001</v>
      </c>
      <c r="I287">
        <f>VLOOKUP(A287,[1]Datasheet_2!$A$2:$H$611,2,FALSE)</f>
        <v>285</v>
      </c>
      <c r="J287">
        <f>VLOOKUP(A287,[1]Datasheet_2!$A$2:$H$611,3,FALSE)</f>
        <v>0.13639999999999999</v>
      </c>
      <c r="K287" s="9">
        <f>VLOOKUP(A287,[1]Datasheet_2!$A$2:$H$611,4,FALSE)</f>
        <v>0.5</v>
      </c>
      <c r="L287" s="8">
        <f>VLOOKUP(A287,[1]Datasheet_2!$A$2:$H$611,5,FALSE)</f>
        <v>0.19400000000000001</v>
      </c>
      <c r="M287" s="8">
        <f>VLOOKUP(A287,[1]Datasheet_2!$A$2:$H$611,6,FALSE)</f>
        <v>5</v>
      </c>
      <c r="N287" s="8">
        <f>VLOOKUP(A287,[1]Datasheet_2!$A$2:$H$611,7,FALSE)</f>
        <v>197</v>
      </c>
      <c r="O287" s="9">
        <f>VLOOKUP(A287,[1]Datasheet_2!$A$2:$H$611,8,FALSE)</f>
        <v>202</v>
      </c>
    </row>
    <row r="288" spans="1:15" x14ac:dyDescent="0.3">
      <c r="A288" s="4">
        <v>287</v>
      </c>
      <c r="B288" s="5">
        <v>40556</v>
      </c>
      <c r="C288" s="4">
        <v>1</v>
      </c>
      <c r="D288" s="4">
        <v>9</v>
      </c>
      <c r="E288" s="4" t="b">
        <v>0</v>
      </c>
      <c r="F288" s="4">
        <v>4</v>
      </c>
      <c r="G288" s="4">
        <v>1</v>
      </c>
      <c r="H288" s="4">
        <v>0.14000000000000001</v>
      </c>
      <c r="I288">
        <f>VLOOKUP(A288,[1]Datasheet_2!$A$2:$H$611,2,FALSE)</f>
        <v>286</v>
      </c>
      <c r="J288">
        <f>VLOOKUP(A288,[1]Datasheet_2!$A$2:$H$611,3,FALSE)</f>
        <v>0.1212</v>
      </c>
      <c r="K288" s="9">
        <f>VLOOKUP(A288,[1]Datasheet_2!$A$2:$H$611,4,FALSE)</f>
        <v>0.5</v>
      </c>
      <c r="L288" s="8">
        <f>VLOOKUP(A288,[1]Datasheet_2!$A$2:$H$611,5,FALSE)</f>
        <v>0.32840000000000003</v>
      </c>
      <c r="M288" s="8">
        <f>VLOOKUP(A288,[1]Datasheet_2!$A$2:$H$611,6,FALSE)</f>
        <v>2</v>
      </c>
      <c r="N288" s="8">
        <f>VLOOKUP(A288,[1]Datasheet_2!$A$2:$H$611,7,FALSE)</f>
        <v>137</v>
      </c>
      <c r="O288" s="9">
        <f>VLOOKUP(A288,[1]Datasheet_2!$A$2:$H$611,8,FALSE)</f>
        <v>139</v>
      </c>
    </row>
    <row r="289" spans="1:15" x14ac:dyDescent="0.3">
      <c r="A289" s="4">
        <v>288</v>
      </c>
      <c r="B289" s="5">
        <v>40556</v>
      </c>
      <c r="C289" s="4">
        <v>1</v>
      </c>
      <c r="D289" s="4">
        <v>10</v>
      </c>
      <c r="E289" s="4" t="b">
        <v>0</v>
      </c>
      <c r="F289" s="4">
        <v>4</v>
      </c>
      <c r="G289" s="4">
        <v>2</v>
      </c>
      <c r="H289" s="4">
        <v>0.16</v>
      </c>
      <c r="I289">
        <f>VLOOKUP(A289,[1]Datasheet_2!$A$2:$H$611,2,FALSE)</f>
        <v>287</v>
      </c>
      <c r="J289">
        <f>VLOOKUP(A289,[1]Datasheet_2!$A$2:$H$611,3,FALSE)</f>
        <v>0.13639999999999999</v>
      </c>
      <c r="K289" s="9">
        <f>VLOOKUP(A289,[1]Datasheet_2!$A$2:$H$611,4,FALSE)</f>
        <v>0.5</v>
      </c>
      <c r="L289" s="8">
        <f>VLOOKUP(A289,[1]Datasheet_2!$A$2:$H$611,5,FALSE)</f>
        <v>0.35820000000000002</v>
      </c>
      <c r="M289" s="8">
        <f>VLOOKUP(A289,[1]Datasheet_2!$A$2:$H$611,6,FALSE)</f>
        <v>2</v>
      </c>
      <c r="N289" s="8">
        <f>VLOOKUP(A289,[1]Datasheet_2!$A$2:$H$611,7,FALSE)</f>
        <v>36</v>
      </c>
      <c r="O289" s="9">
        <f>VLOOKUP(A289,[1]Datasheet_2!$A$2:$H$611,8,FALSE)</f>
        <v>38</v>
      </c>
    </row>
    <row r="290" spans="1:15" x14ac:dyDescent="0.3">
      <c r="A290" s="4">
        <v>289</v>
      </c>
      <c r="B290" s="5">
        <v>40556</v>
      </c>
      <c r="C290" s="4">
        <v>1</v>
      </c>
      <c r="D290" s="4">
        <v>11</v>
      </c>
      <c r="E290" s="4" t="b">
        <v>0</v>
      </c>
      <c r="F290" s="4">
        <v>4</v>
      </c>
      <c r="G290" s="4">
        <v>2</v>
      </c>
      <c r="H290" s="4">
        <v>0.2</v>
      </c>
      <c r="I290">
        <f>VLOOKUP(A290,[1]Datasheet_2!$A$2:$H$611,2,FALSE)</f>
        <v>288</v>
      </c>
      <c r="J290">
        <f>VLOOKUP(A290,[1]Datasheet_2!$A$2:$H$611,3,FALSE)</f>
        <v>0.16669999999999999</v>
      </c>
      <c r="K290" s="9">
        <f>VLOOKUP(A290,[1]Datasheet_2!$A$2:$H$611,4,FALSE)</f>
        <v>0.44</v>
      </c>
      <c r="L290" s="8">
        <f>VLOOKUP(A290,[1]Datasheet_2!$A$2:$H$611,5,FALSE)</f>
        <v>0.44779999999999998</v>
      </c>
      <c r="M290" s="8">
        <f>VLOOKUP(A290,[1]Datasheet_2!$A$2:$H$611,6,FALSE)</f>
        <v>4</v>
      </c>
      <c r="N290" s="8">
        <f>VLOOKUP(A290,[1]Datasheet_2!$A$2:$H$611,7,FALSE)</f>
        <v>33</v>
      </c>
      <c r="O290" s="9">
        <f>VLOOKUP(A290,[1]Datasheet_2!$A$2:$H$611,8,FALSE)</f>
        <v>37</v>
      </c>
    </row>
    <row r="291" spans="1:15" x14ac:dyDescent="0.3">
      <c r="A291" s="4">
        <v>290</v>
      </c>
      <c r="B291" s="5">
        <v>40556</v>
      </c>
      <c r="C291" s="4">
        <v>1</v>
      </c>
      <c r="D291" s="4">
        <v>12</v>
      </c>
      <c r="E291" s="4" t="b">
        <v>0</v>
      </c>
      <c r="F291" s="4">
        <v>4</v>
      </c>
      <c r="G291" s="4">
        <v>1</v>
      </c>
      <c r="H291" s="4">
        <v>0.2</v>
      </c>
      <c r="I291">
        <f>VLOOKUP(A291,[1]Datasheet_2!$A$2:$H$611,2,FALSE)</f>
        <v>289</v>
      </c>
      <c r="J291">
        <f>VLOOKUP(A291,[1]Datasheet_2!$A$2:$H$611,3,FALSE)</f>
        <v>0.16669999999999999</v>
      </c>
      <c r="K291" s="9">
        <f>VLOOKUP(A291,[1]Datasheet_2!$A$2:$H$611,4,FALSE)</f>
        <v>0.44</v>
      </c>
      <c r="L291" s="8">
        <f>VLOOKUP(A291,[1]Datasheet_2!$A$2:$H$611,5,FALSE)</f>
        <v>0.41789999999999999</v>
      </c>
      <c r="M291" s="8">
        <f>VLOOKUP(A291,[1]Datasheet_2!$A$2:$H$611,6,FALSE)</f>
        <v>3</v>
      </c>
      <c r="N291" s="8">
        <f>VLOOKUP(A291,[1]Datasheet_2!$A$2:$H$611,7,FALSE)</f>
        <v>49</v>
      </c>
      <c r="O291" s="9">
        <f>VLOOKUP(A291,[1]Datasheet_2!$A$2:$H$611,8,FALSE)</f>
        <v>52</v>
      </c>
    </row>
    <row r="292" spans="1:15" x14ac:dyDescent="0.3">
      <c r="A292" s="4">
        <v>291</v>
      </c>
      <c r="B292" s="5">
        <v>40556</v>
      </c>
      <c r="C292" s="4">
        <v>1</v>
      </c>
      <c r="D292" s="4">
        <v>13</v>
      </c>
      <c r="E292" s="4" t="b">
        <v>0</v>
      </c>
      <c r="F292" s="4">
        <v>4</v>
      </c>
      <c r="G292" s="4">
        <v>1</v>
      </c>
      <c r="H292" s="4">
        <v>0.22</v>
      </c>
      <c r="I292">
        <f>VLOOKUP(A292,[1]Datasheet_2!$A$2:$H$611,2,FALSE)</f>
        <v>290</v>
      </c>
      <c r="J292">
        <f>VLOOKUP(A292,[1]Datasheet_2!$A$2:$H$611,3,FALSE)</f>
        <v>0.19700000000000001</v>
      </c>
      <c r="K292" s="9">
        <f>VLOOKUP(A292,[1]Datasheet_2!$A$2:$H$611,4,FALSE)</f>
        <v>0.41</v>
      </c>
      <c r="L292" s="8">
        <f>VLOOKUP(A292,[1]Datasheet_2!$A$2:$H$611,5,FALSE)</f>
        <v>0.44779999999999998</v>
      </c>
      <c r="M292" s="8">
        <f>VLOOKUP(A292,[1]Datasheet_2!$A$2:$H$611,6,FALSE)</f>
        <v>2</v>
      </c>
      <c r="N292" s="8">
        <f>VLOOKUP(A292,[1]Datasheet_2!$A$2:$H$611,7,FALSE)</f>
        <v>81</v>
      </c>
      <c r="O292" s="9">
        <f>VLOOKUP(A292,[1]Datasheet_2!$A$2:$H$611,8,FALSE)</f>
        <v>83</v>
      </c>
    </row>
    <row r="293" spans="1:15" x14ac:dyDescent="0.3">
      <c r="A293" s="4">
        <v>292</v>
      </c>
      <c r="B293" s="5">
        <v>40556</v>
      </c>
      <c r="C293" s="4">
        <v>1</v>
      </c>
      <c r="D293" s="4">
        <v>14</v>
      </c>
      <c r="E293" s="4" t="b">
        <v>0</v>
      </c>
      <c r="F293" s="4">
        <v>4</v>
      </c>
      <c r="G293" s="4">
        <v>1</v>
      </c>
      <c r="H293" s="4">
        <v>0.22</v>
      </c>
      <c r="I293">
        <f>VLOOKUP(A293,[1]Datasheet_2!$A$2:$H$611,2,FALSE)</f>
        <v>291</v>
      </c>
      <c r="J293">
        <f>VLOOKUP(A293,[1]Datasheet_2!$A$2:$H$611,3,FALSE)</f>
        <v>0.19700000000000001</v>
      </c>
      <c r="K293" s="9">
        <f>VLOOKUP(A293,[1]Datasheet_2!$A$2:$H$611,4,FALSE)</f>
        <v>0.41</v>
      </c>
      <c r="L293" s="8">
        <f>VLOOKUP(A293,[1]Datasheet_2!$A$2:$H$611,5,FALSE)</f>
        <v>0.3881</v>
      </c>
      <c r="M293" s="8">
        <f>VLOOKUP(A293,[1]Datasheet_2!$A$2:$H$611,6,FALSE)</f>
        <v>3</v>
      </c>
      <c r="N293" s="8">
        <f>VLOOKUP(A293,[1]Datasheet_2!$A$2:$H$611,7,FALSE)</f>
        <v>39</v>
      </c>
      <c r="O293" s="9">
        <f>VLOOKUP(A293,[1]Datasheet_2!$A$2:$H$611,8,FALSE)</f>
        <v>42</v>
      </c>
    </row>
    <row r="294" spans="1:15" x14ac:dyDescent="0.3">
      <c r="A294" s="4">
        <v>293</v>
      </c>
      <c r="B294" s="5">
        <v>40556</v>
      </c>
      <c r="C294" s="4">
        <v>1</v>
      </c>
      <c r="D294" s="4">
        <v>15</v>
      </c>
      <c r="E294" s="4" t="b">
        <v>0</v>
      </c>
      <c r="F294" s="4">
        <v>4</v>
      </c>
      <c r="G294" s="4">
        <v>1</v>
      </c>
      <c r="H294" s="4">
        <v>0.24</v>
      </c>
      <c r="I294">
        <f>VLOOKUP(A294,[1]Datasheet_2!$A$2:$H$611,2,FALSE)</f>
        <v>292</v>
      </c>
      <c r="J294">
        <f>VLOOKUP(A294,[1]Datasheet_2!$A$2:$H$611,3,FALSE)</f>
        <v>0.21210000000000001</v>
      </c>
      <c r="K294" s="9">
        <f>VLOOKUP(A294,[1]Datasheet_2!$A$2:$H$611,4,FALSE)</f>
        <v>0.38</v>
      </c>
      <c r="L294" s="8">
        <f>VLOOKUP(A294,[1]Datasheet_2!$A$2:$H$611,5,FALSE)</f>
        <v>0.29849999999999999</v>
      </c>
      <c r="M294" s="8">
        <f>VLOOKUP(A294,[1]Datasheet_2!$A$2:$H$611,6,FALSE)</f>
        <v>5</v>
      </c>
      <c r="N294" s="8">
        <f>VLOOKUP(A294,[1]Datasheet_2!$A$2:$H$611,7,FALSE)</f>
        <v>55</v>
      </c>
      <c r="O294" s="9">
        <f>VLOOKUP(A294,[1]Datasheet_2!$A$2:$H$611,8,FALSE)</f>
        <v>60</v>
      </c>
    </row>
    <row r="295" spans="1:15" x14ac:dyDescent="0.3">
      <c r="A295" s="4">
        <v>294</v>
      </c>
      <c r="B295" s="5">
        <v>40556</v>
      </c>
      <c r="C295" s="4">
        <v>1</v>
      </c>
      <c r="D295" s="4">
        <v>16</v>
      </c>
      <c r="E295" s="4" t="b">
        <v>0</v>
      </c>
      <c r="F295" s="4">
        <v>4</v>
      </c>
      <c r="G295" s="4">
        <v>1</v>
      </c>
      <c r="H295" s="4">
        <v>0.24</v>
      </c>
      <c r="I295">
        <f>VLOOKUP(A295,[1]Datasheet_2!$A$2:$H$611,2,FALSE)</f>
        <v>293</v>
      </c>
      <c r="J295">
        <f>VLOOKUP(A295,[1]Datasheet_2!$A$2:$H$611,3,FALSE)</f>
        <v>0.21210000000000001</v>
      </c>
      <c r="K295" s="9">
        <f>VLOOKUP(A295,[1]Datasheet_2!$A$2:$H$611,4,FALSE)</f>
        <v>0.38</v>
      </c>
      <c r="L295" s="8">
        <f>VLOOKUP(A295,[1]Datasheet_2!$A$2:$H$611,5,FALSE)</f>
        <v>0.35820000000000002</v>
      </c>
      <c r="M295" s="8">
        <f>VLOOKUP(A295,[1]Datasheet_2!$A$2:$H$611,6,FALSE)</f>
        <v>2</v>
      </c>
      <c r="N295" s="8">
        <f>VLOOKUP(A295,[1]Datasheet_2!$A$2:$H$611,7,FALSE)</f>
        <v>76</v>
      </c>
      <c r="O295" s="9">
        <f>VLOOKUP(A295,[1]Datasheet_2!$A$2:$H$611,8,FALSE)</f>
        <v>78</v>
      </c>
    </row>
    <row r="296" spans="1:15" x14ac:dyDescent="0.3">
      <c r="A296" s="4">
        <v>295</v>
      </c>
      <c r="B296" s="5">
        <v>40556</v>
      </c>
      <c r="C296" s="4">
        <v>1</v>
      </c>
      <c r="D296" s="4">
        <v>17</v>
      </c>
      <c r="E296" s="4" t="b">
        <v>0</v>
      </c>
      <c r="F296" s="4">
        <v>4</v>
      </c>
      <c r="G296" s="4">
        <v>1</v>
      </c>
      <c r="H296" s="4">
        <v>0.2</v>
      </c>
      <c r="I296">
        <f>VLOOKUP(A296,[1]Datasheet_2!$A$2:$H$611,2,FALSE)</f>
        <v>294</v>
      </c>
      <c r="J296">
        <f>VLOOKUP(A296,[1]Datasheet_2!$A$2:$H$611,3,FALSE)</f>
        <v>0.18179999999999999</v>
      </c>
      <c r="K296" s="9">
        <f>VLOOKUP(A296,[1]Datasheet_2!$A$2:$H$611,4,FALSE)</f>
        <v>0.4</v>
      </c>
      <c r="L296" s="8">
        <f>VLOOKUP(A296,[1]Datasheet_2!$A$2:$H$611,5,FALSE)</f>
        <v>0.28360000000000002</v>
      </c>
      <c r="M296" s="8">
        <f>VLOOKUP(A296,[1]Datasheet_2!$A$2:$H$611,6,FALSE)</f>
        <v>4</v>
      </c>
      <c r="N296" s="8">
        <f>VLOOKUP(A296,[1]Datasheet_2!$A$2:$H$611,7,FALSE)</f>
        <v>158</v>
      </c>
      <c r="O296" s="9">
        <f>VLOOKUP(A296,[1]Datasheet_2!$A$2:$H$611,8,FALSE)</f>
        <v>162</v>
      </c>
    </row>
    <row r="297" spans="1:15" x14ac:dyDescent="0.3">
      <c r="A297" s="4">
        <v>296</v>
      </c>
      <c r="B297" s="5">
        <v>40556</v>
      </c>
      <c r="C297" s="4">
        <v>1</v>
      </c>
      <c r="D297" s="4">
        <v>18</v>
      </c>
      <c r="E297" s="4" t="b">
        <v>0</v>
      </c>
      <c r="F297" s="4">
        <v>4</v>
      </c>
      <c r="G297" s="4">
        <v>1</v>
      </c>
      <c r="H297" s="4">
        <v>0.2</v>
      </c>
      <c r="I297">
        <f>VLOOKUP(A297,[1]Datasheet_2!$A$2:$H$611,2,FALSE)</f>
        <v>295</v>
      </c>
      <c r="J297">
        <f>VLOOKUP(A297,[1]Datasheet_2!$A$2:$H$611,3,FALSE)</f>
        <v>0.18179999999999999</v>
      </c>
      <c r="K297" s="9">
        <f>VLOOKUP(A297,[1]Datasheet_2!$A$2:$H$611,4,FALSE)</f>
        <v>0.4</v>
      </c>
      <c r="L297" s="8">
        <f>VLOOKUP(A297,[1]Datasheet_2!$A$2:$H$611,5,FALSE)</f>
        <v>0.32840000000000003</v>
      </c>
      <c r="M297" s="8">
        <f>VLOOKUP(A297,[1]Datasheet_2!$A$2:$H$611,6,FALSE)</f>
        <v>3</v>
      </c>
      <c r="N297" s="8">
        <f>VLOOKUP(A297,[1]Datasheet_2!$A$2:$H$611,7,FALSE)</f>
        <v>141</v>
      </c>
      <c r="O297" s="9">
        <f>VLOOKUP(A297,[1]Datasheet_2!$A$2:$H$611,8,FALSE)</f>
        <v>144</v>
      </c>
    </row>
    <row r="298" spans="1:15" x14ac:dyDescent="0.3">
      <c r="A298" s="4">
        <v>297</v>
      </c>
      <c r="B298" s="5">
        <v>40556</v>
      </c>
      <c r="C298" s="4">
        <v>1</v>
      </c>
      <c r="D298" s="4">
        <v>19</v>
      </c>
      <c r="E298" s="4" t="b">
        <v>0</v>
      </c>
      <c r="F298" s="4">
        <v>4</v>
      </c>
      <c r="G298" s="4">
        <v>1</v>
      </c>
      <c r="H298" s="4">
        <v>0.16</v>
      </c>
      <c r="I298">
        <f>VLOOKUP(A298,[1]Datasheet_2!$A$2:$H$611,2,FALSE)</f>
        <v>296</v>
      </c>
      <c r="J298">
        <f>VLOOKUP(A298,[1]Datasheet_2!$A$2:$H$611,3,FALSE)</f>
        <v>0.1515</v>
      </c>
      <c r="K298" s="9">
        <f>VLOOKUP(A298,[1]Datasheet_2!$A$2:$H$611,4,FALSE)</f>
        <v>0.47</v>
      </c>
      <c r="L298" s="8">
        <f>VLOOKUP(A298,[1]Datasheet_2!$A$2:$H$611,5,FALSE)</f>
        <v>0.25369999999999998</v>
      </c>
      <c r="M298" s="8">
        <f>VLOOKUP(A298,[1]Datasheet_2!$A$2:$H$611,6,FALSE)</f>
        <v>1</v>
      </c>
      <c r="N298" s="8">
        <f>VLOOKUP(A298,[1]Datasheet_2!$A$2:$H$611,7,FALSE)</f>
        <v>98</v>
      </c>
      <c r="O298" s="9">
        <f>VLOOKUP(A298,[1]Datasheet_2!$A$2:$H$611,8,FALSE)</f>
        <v>99</v>
      </c>
    </row>
    <row r="299" spans="1:15" x14ac:dyDescent="0.3">
      <c r="A299" s="4">
        <v>298</v>
      </c>
      <c r="B299" s="5">
        <v>40556</v>
      </c>
      <c r="C299" s="4">
        <v>1</v>
      </c>
      <c r="D299" s="4">
        <v>20</v>
      </c>
      <c r="E299" s="4" t="b">
        <v>0</v>
      </c>
      <c r="F299" s="4">
        <v>4</v>
      </c>
      <c r="G299" s="4">
        <v>1</v>
      </c>
      <c r="H299" s="4">
        <v>0.16</v>
      </c>
      <c r="I299">
        <f>VLOOKUP(A299,[1]Datasheet_2!$A$2:$H$611,2,FALSE)</f>
        <v>297</v>
      </c>
      <c r="J299">
        <f>VLOOKUP(A299,[1]Datasheet_2!$A$2:$H$611,3,FALSE)</f>
        <v>0.1515</v>
      </c>
      <c r="K299" s="9">
        <f>VLOOKUP(A299,[1]Datasheet_2!$A$2:$H$611,4,FALSE)</f>
        <v>0.47</v>
      </c>
      <c r="L299" s="8">
        <f>VLOOKUP(A299,[1]Datasheet_2!$A$2:$H$611,5,FALSE)</f>
        <v>0.22389999999999999</v>
      </c>
      <c r="M299" s="8">
        <f>VLOOKUP(A299,[1]Datasheet_2!$A$2:$H$611,6,FALSE)</f>
        <v>0</v>
      </c>
      <c r="N299" s="8">
        <f>VLOOKUP(A299,[1]Datasheet_2!$A$2:$H$611,7,FALSE)</f>
        <v>64</v>
      </c>
      <c r="O299" s="9">
        <f>VLOOKUP(A299,[1]Datasheet_2!$A$2:$H$611,8,FALSE)</f>
        <v>64</v>
      </c>
    </row>
    <row r="300" spans="1:15" x14ac:dyDescent="0.3">
      <c r="A300" s="4">
        <v>299</v>
      </c>
      <c r="B300" s="5">
        <v>40556</v>
      </c>
      <c r="C300" s="4">
        <v>1</v>
      </c>
      <c r="D300" s="4">
        <v>21</v>
      </c>
      <c r="E300" s="4" t="b">
        <v>0</v>
      </c>
      <c r="F300" s="4">
        <v>4</v>
      </c>
      <c r="G300" s="4">
        <v>1</v>
      </c>
      <c r="H300" s="4">
        <v>0.14000000000000001</v>
      </c>
      <c r="I300">
        <f>VLOOKUP(A300,[1]Datasheet_2!$A$2:$H$611,2,FALSE)</f>
        <v>298</v>
      </c>
      <c r="J300">
        <f>VLOOKUP(A300,[1]Datasheet_2!$A$2:$H$611,3,FALSE)</f>
        <v>0.1212</v>
      </c>
      <c r="K300" s="9">
        <f>VLOOKUP(A300,[1]Datasheet_2!$A$2:$H$611,4,FALSE)</f>
        <v>0.46</v>
      </c>
      <c r="L300" s="8">
        <f>VLOOKUP(A300,[1]Datasheet_2!$A$2:$H$611,5,FALSE)</f>
        <v>0.29849999999999999</v>
      </c>
      <c r="M300" s="8">
        <f>VLOOKUP(A300,[1]Datasheet_2!$A$2:$H$611,6,FALSE)</f>
        <v>0</v>
      </c>
      <c r="N300" s="8">
        <f>VLOOKUP(A300,[1]Datasheet_2!$A$2:$H$611,7,FALSE)</f>
        <v>40</v>
      </c>
      <c r="O300" s="9">
        <f>VLOOKUP(A300,[1]Datasheet_2!$A$2:$H$611,8,FALSE)</f>
        <v>40</v>
      </c>
    </row>
    <row r="301" spans="1:15" x14ac:dyDescent="0.3">
      <c r="A301" s="4">
        <v>300</v>
      </c>
      <c r="B301" s="5">
        <v>40556</v>
      </c>
      <c r="C301" s="4">
        <v>1</v>
      </c>
      <c r="D301" s="4">
        <v>22</v>
      </c>
      <c r="E301" s="4" t="b">
        <v>0</v>
      </c>
      <c r="F301" s="4">
        <v>4</v>
      </c>
      <c r="G301" s="4">
        <v>1</v>
      </c>
      <c r="H301" s="4">
        <v>0.14000000000000001</v>
      </c>
      <c r="I301">
        <f>VLOOKUP(A301,[1]Datasheet_2!$A$2:$H$611,2,FALSE)</f>
        <v>299</v>
      </c>
      <c r="J301">
        <f>VLOOKUP(A301,[1]Datasheet_2!$A$2:$H$611,3,FALSE)</f>
        <v>0.1212</v>
      </c>
      <c r="K301" s="9">
        <f>VLOOKUP(A301,[1]Datasheet_2!$A$2:$H$611,4,FALSE)</f>
        <v>0.46</v>
      </c>
      <c r="L301" s="8">
        <f>VLOOKUP(A301,[1]Datasheet_2!$A$2:$H$611,5,FALSE)</f>
        <v>0.32840000000000003</v>
      </c>
      <c r="M301" s="8">
        <f>VLOOKUP(A301,[1]Datasheet_2!$A$2:$H$611,6,FALSE)</f>
        <v>0</v>
      </c>
      <c r="N301" s="8">
        <f>VLOOKUP(A301,[1]Datasheet_2!$A$2:$H$611,7,FALSE)</f>
        <v>30</v>
      </c>
      <c r="O301" s="9">
        <f>VLOOKUP(A301,[1]Datasheet_2!$A$2:$H$611,8,FALSE)</f>
        <v>30</v>
      </c>
    </row>
    <row r="302" spans="1:15" x14ac:dyDescent="0.3">
      <c r="A302" s="4">
        <v>301</v>
      </c>
      <c r="B302" s="5">
        <v>40556</v>
      </c>
      <c r="C302" s="4">
        <v>1</v>
      </c>
      <c r="D302" s="4">
        <v>23</v>
      </c>
      <c r="E302" s="4" t="b">
        <v>0</v>
      </c>
      <c r="F302" s="4">
        <v>4</v>
      </c>
      <c r="G302" s="4">
        <v>1</v>
      </c>
      <c r="H302" s="4">
        <v>0.12</v>
      </c>
      <c r="I302">
        <f>VLOOKUP(A302,[1]Datasheet_2!$A$2:$H$611,2,FALSE)</f>
        <v>300</v>
      </c>
      <c r="J302">
        <f>VLOOKUP(A302,[1]Datasheet_2!$A$2:$H$611,3,FALSE)</f>
        <v>0.13639999999999999</v>
      </c>
      <c r="K302" s="9">
        <f>VLOOKUP(A302,[1]Datasheet_2!$A$2:$H$611,4,FALSE)</f>
        <v>0.5</v>
      </c>
      <c r="L302" s="8">
        <f>VLOOKUP(A302,[1]Datasheet_2!$A$2:$H$611,5,FALSE)</f>
        <v>0.19400000000000001</v>
      </c>
      <c r="M302" s="8">
        <f>VLOOKUP(A302,[1]Datasheet_2!$A$2:$H$611,6,FALSE)</f>
        <v>1</v>
      </c>
      <c r="N302" s="8">
        <f>VLOOKUP(A302,[1]Datasheet_2!$A$2:$H$611,7,FALSE)</f>
        <v>14</v>
      </c>
      <c r="O302" s="9">
        <f>VLOOKUP(A302,[1]Datasheet_2!$A$2:$H$611,8,FALSE)</f>
        <v>15</v>
      </c>
    </row>
    <row r="303" spans="1:15" x14ac:dyDescent="0.3">
      <c r="A303" s="4">
        <v>302</v>
      </c>
      <c r="B303" s="5">
        <v>40557</v>
      </c>
      <c r="C303" s="4">
        <v>1</v>
      </c>
      <c r="D303" s="4">
        <v>0</v>
      </c>
      <c r="E303" s="4" t="b">
        <v>0</v>
      </c>
      <c r="F303" s="4">
        <v>5</v>
      </c>
      <c r="G303" s="4">
        <v>1</v>
      </c>
      <c r="H303" s="4">
        <v>0.12</v>
      </c>
      <c r="I303">
        <f>VLOOKUP(A303,[1]Datasheet_2!$A$2:$H$611,2,FALSE)</f>
        <v>301</v>
      </c>
      <c r="J303">
        <f>VLOOKUP(A303,[1]Datasheet_2!$A$2:$H$611,3,FALSE)</f>
        <v>0.13639999999999999</v>
      </c>
      <c r="K303" s="9">
        <f>VLOOKUP(A303,[1]Datasheet_2!$A$2:$H$611,4,FALSE)</f>
        <v>0.5</v>
      </c>
      <c r="L303" s="8">
        <f>VLOOKUP(A303,[1]Datasheet_2!$A$2:$H$611,5,FALSE)</f>
        <v>0.19400000000000001</v>
      </c>
      <c r="M303" s="8">
        <f>VLOOKUP(A303,[1]Datasheet_2!$A$2:$H$611,6,FALSE)</f>
        <v>0</v>
      </c>
      <c r="N303" s="8">
        <f>VLOOKUP(A303,[1]Datasheet_2!$A$2:$H$611,7,FALSE)</f>
        <v>14</v>
      </c>
      <c r="O303" s="9">
        <f>VLOOKUP(A303,[1]Datasheet_2!$A$2:$H$611,8,FALSE)</f>
        <v>14</v>
      </c>
    </row>
    <row r="304" spans="1:15" x14ac:dyDescent="0.3">
      <c r="A304" s="4">
        <v>303</v>
      </c>
      <c r="B304" s="5">
        <v>40557</v>
      </c>
      <c r="C304" s="4">
        <v>1</v>
      </c>
      <c r="D304" s="4">
        <v>1</v>
      </c>
      <c r="E304" s="4" t="b">
        <v>0</v>
      </c>
      <c r="F304" s="4">
        <v>5</v>
      </c>
      <c r="G304" s="4">
        <v>1</v>
      </c>
      <c r="H304" s="4">
        <v>0.1</v>
      </c>
      <c r="I304">
        <f>VLOOKUP(A304,[1]Datasheet_2!$A$2:$H$611,2,FALSE)</f>
        <v>302</v>
      </c>
      <c r="J304">
        <f>VLOOKUP(A304,[1]Datasheet_2!$A$2:$H$611,3,FALSE)</f>
        <v>0.1212</v>
      </c>
      <c r="K304" s="9">
        <f>VLOOKUP(A304,[1]Datasheet_2!$A$2:$H$611,4,FALSE)</f>
        <v>0.54</v>
      </c>
      <c r="L304" s="8">
        <f>VLOOKUP(A304,[1]Datasheet_2!$A$2:$H$611,5,FALSE)</f>
        <v>0.16420000000000001</v>
      </c>
      <c r="M304" s="8">
        <f>VLOOKUP(A304,[1]Datasheet_2!$A$2:$H$611,6,FALSE)</f>
        <v>0</v>
      </c>
      <c r="N304" s="8">
        <f>VLOOKUP(A304,[1]Datasheet_2!$A$2:$H$611,7,FALSE)</f>
        <v>5</v>
      </c>
      <c r="O304" s="9">
        <f>VLOOKUP(A304,[1]Datasheet_2!$A$2:$H$611,8,FALSE)</f>
        <v>5</v>
      </c>
    </row>
    <row r="305" spans="1:15" x14ac:dyDescent="0.3">
      <c r="A305" s="4">
        <v>304</v>
      </c>
      <c r="B305" s="5">
        <v>40557</v>
      </c>
      <c r="C305" s="4">
        <v>1</v>
      </c>
      <c r="D305" s="4">
        <v>2</v>
      </c>
      <c r="E305" s="4" t="b">
        <v>0</v>
      </c>
      <c r="F305" s="4">
        <v>5</v>
      </c>
      <c r="G305" s="4">
        <v>1</v>
      </c>
      <c r="H305" s="4">
        <v>0.1</v>
      </c>
      <c r="I305">
        <f>VLOOKUP(A305,[1]Datasheet_2!$A$2:$H$611,2,FALSE)</f>
        <v>303</v>
      </c>
      <c r="J305">
        <f>VLOOKUP(A305,[1]Datasheet_2!$A$2:$H$611,3,FALSE)</f>
        <v>0.1212</v>
      </c>
      <c r="K305" s="9">
        <f>VLOOKUP(A305,[1]Datasheet_2!$A$2:$H$611,4,FALSE)</f>
        <v>0.54</v>
      </c>
      <c r="L305" s="8">
        <f>VLOOKUP(A305,[1]Datasheet_2!$A$2:$H$611,5,FALSE)</f>
        <v>0.1343</v>
      </c>
      <c r="M305" s="8">
        <f>VLOOKUP(A305,[1]Datasheet_2!$A$2:$H$611,6,FALSE)</f>
        <v>0</v>
      </c>
      <c r="N305" s="8">
        <f>VLOOKUP(A305,[1]Datasheet_2!$A$2:$H$611,7,FALSE)</f>
        <v>1</v>
      </c>
      <c r="O305" s="9">
        <f>VLOOKUP(A305,[1]Datasheet_2!$A$2:$H$611,8,FALSE)</f>
        <v>1</v>
      </c>
    </row>
    <row r="306" spans="1:15" x14ac:dyDescent="0.3">
      <c r="A306" s="4">
        <v>305</v>
      </c>
      <c r="B306" s="5">
        <v>40557</v>
      </c>
      <c r="C306" s="4">
        <v>1</v>
      </c>
      <c r="D306" s="4">
        <v>3</v>
      </c>
      <c r="E306" s="4" t="b">
        <v>0</v>
      </c>
      <c r="F306" s="4">
        <v>5</v>
      </c>
      <c r="G306" s="4">
        <v>1</v>
      </c>
      <c r="H306" s="4">
        <v>0.1</v>
      </c>
      <c r="I306">
        <f>VLOOKUP(A306,[1]Datasheet_2!$A$2:$H$611,2,FALSE)</f>
        <v>304</v>
      </c>
      <c r="J306">
        <f>VLOOKUP(A306,[1]Datasheet_2!$A$2:$H$611,3,FALSE)</f>
        <v>0.13639999999999999</v>
      </c>
      <c r="K306" s="9">
        <f>VLOOKUP(A306,[1]Datasheet_2!$A$2:$H$611,4,FALSE)</f>
        <v>0.54</v>
      </c>
      <c r="L306" s="8">
        <f>VLOOKUP(A306,[1]Datasheet_2!$A$2:$H$611,5,FALSE)</f>
        <v>0.1045</v>
      </c>
      <c r="M306" s="8">
        <f>VLOOKUP(A306,[1]Datasheet_2!$A$2:$H$611,6,FALSE)</f>
        <v>0</v>
      </c>
      <c r="N306" s="8">
        <f>VLOOKUP(A306,[1]Datasheet_2!$A$2:$H$611,7,FALSE)</f>
        <v>1</v>
      </c>
      <c r="O306" s="9">
        <f>VLOOKUP(A306,[1]Datasheet_2!$A$2:$H$611,8,FALSE)</f>
        <v>1</v>
      </c>
    </row>
    <row r="307" spans="1:15" x14ac:dyDescent="0.3">
      <c r="A307" s="4">
        <v>306</v>
      </c>
      <c r="B307" s="5">
        <v>40557</v>
      </c>
      <c r="C307" s="4">
        <v>1</v>
      </c>
      <c r="D307" s="4">
        <v>5</v>
      </c>
      <c r="E307" s="4" t="b">
        <v>0</v>
      </c>
      <c r="F307" s="4">
        <v>5</v>
      </c>
      <c r="G307" s="4">
        <v>1</v>
      </c>
      <c r="H307" s="4">
        <v>0.1</v>
      </c>
      <c r="I307">
        <f>VLOOKUP(A307,[1]Datasheet_2!$A$2:$H$611,2,FALSE)</f>
        <v>305</v>
      </c>
      <c r="J307">
        <f>VLOOKUP(A307,[1]Datasheet_2!$A$2:$H$611,3,FALSE)</f>
        <v>0.13639999999999999</v>
      </c>
      <c r="K307" s="9">
        <f>VLOOKUP(A307,[1]Datasheet_2!$A$2:$H$611,4,FALSE)</f>
        <v>0.54</v>
      </c>
      <c r="L307" s="8">
        <f>VLOOKUP(A307,[1]Datasheet_2!$A$2:$H$611,5,FALSE)</f>
        <v>8.9599999999999999E-2</v>
      </c>
      <c r="M307" s="8">
        <f>VLOOKUP(A307,[1]Datasheet_2!$A$2:$H$611,6,FALSE)</f>
        <v>0</v>
      </c>
      <c r="N307" s="8">
        <f>VLOOKUP(A307,[1]Datasheet_2!$A$2:$H$611,7,FALSE)</f>
        <v>8</v>
      </c>
      <c r="O307" s="9">
        <f>VLOOKUP(A307,[1]Datasheet_2!$A$2:$H$611,8,FALSE)</f>
        <v>8</v>
      </c>
    </row>
    <row r="308" spans="1:15" x14ac:dyDescent="0.3">
      <c r="A308" s="4">
        <v>307</v>
      </c>
      <c r="B308" s="5">
        <v>40557</v>
      </c>
      <c r="C308" s="4">
        <v>1</v>
      </c>
      <c r="D308" s="4">
        <v>6</v>
      </c>
      <c r="E308" s="4" t="b">
        <v>0</v>
      </c>
      <c r="F308" s="4">
        <v>5</v>
      </c>
      <c r="G308" s="4">
        <v>1</v>
      </c>
      <c r="H308" s="4">
        <v>0.1</v>
      </c>
      <c r="I308">
        <f>VLOOKUP(A308,[1]Datasheet_2!$A$2:$H$611,2,FALSE)</f>
        <v>306</v>
      </c>
      <c r="J308">
        <f>VLOOKUP(A308,[1]Datasheet_2!$A$2:$H$611,3,FALSE)</f>
        <v>0.18179999999999999</v>
      </c>
      <c r="K308" s="9">
        <f>VLOOKUP(A308,[1]Datasheet_2!$A$2:$H$611,4,FALSE)</f>
        <v>0.54</v>
      </c>
      <c r="L308" s="8">
        <f>VLOOKUP(A308,[1]Datasheet_2!$A$2:$H$611,5,FALSE)</f>
        <v>0</v>
      </c>
      <c r="M308" s="8">
        <f>VLOOKUP(A308,[1]Datasheet_2!$A$2:$H$611,6,FALSE)</f>
        <v>0</v>
      </c>
      <c r="N308" s="8">
        <f>VLOOKUP(A308,[1]Datasheet_2!$A$2:$H$611,7,FALSE)</f>
        <v>17</v>
      </c>
      <c r="O308" s="9">
        <f>VLOOKUP(A308,[1]Datasheet_2!$A$2:$H$611,8,FALSE)</f>
        <v>17</v>
      </c>
    </row>
    <row r="309" spans="1:15" x14ac:dyDescent="0.3">
      <c r="A309" s="4">
        <v>308</v>
      </c>
      <c r="B309" s="5">
        <v>40557</v>
      </c>
      <c r="C309" s="4">
        <v>1</v>
      </c>
      <c r="D309" s="4">
        <v>7</v>
      </c>
      <c r="E309" s="4" t="b">
        <v>0</v>
      </c>
      <c r="F309" s="4">
        <v>5</v>
      </c>
      <c r="G309" s="4">
        <v>1</v>
      </c>
      <c r="H309" s="4">
        <v>0.1</v>
      </c>
      <c r="I309">
        <f>VLOOKUP(A309,[1]Datasheet_2!$A$2:$H$611,2,FALSE)</f>
        <v>307</v>
      </c>
      <c r="J309">
        <f>VLOOKUP(A309,[1]Datasheet_2!$A$2:$H$611,3,FALSE)</f>
        <v>0.1212</v>
      </c>
      <c r="K309" s="9">
        <f>VLOOKUP(A309,[1]Datasheet_2!$A$2:$H$611,4,FALSE)</f>
        <v>0.74</v>
      </c>
      <c r="L309" s="8">
        <f>VLOOKUP(A309,[1]Datasheet_2!$A$2:$H$611,5,FALSE)</f>
        <v>0.16420000000000001</v>
      </c>
      <c r="M309" s="8">
        <f>VLOOKUP(A309,[1]Datasheet_2!$A$2:$H$611,6,FALSE)</f>
        <v>0</v>
      </c>
      <c r="N309" s="8">
        <f>VLOOKUP(A309,[1]Datasheet_2!$A$2:$H$611,7,FALSE)</f>
        <v>70</v>
      </c>
      <c r="O309" s="9">
        <f>VLOOKUP(A309,[1]Datasheet_2!$A$2:$H$611,8,FALSE)</f>
        <v>70</v>
      </c>
    </row>
    <row r="310" spans="1:15" x14ac:dyDescent="0.3">
      <c r="A310" s="4">
        <v>309</v>
      </c>
      <c r="B310" s="5">
        <v>40557</v>
      </c>
      <c r="C310" s="4">
        <v>1</v>
      </c>
      <c r="D310" s="4">
        <v>8</v>
      </c>
      <c r="E310" s="4" t="b">
        <v>0</v>
      </c>
      <c r="F310" s="4">
        <v>5</v>
      </c>
      <c r="G310" s="4">
        <v>1</v>
      </c>
      <c r="H310" s="4">
        <v>0.12</v>
      </c>
      <c r="I310">
        <f>VLOOKUP(A310,[1]Datasheet_2!$A$2:$H$611,2,FALSE)</f>
        <v>308</v>
      </c>
      <c r="J310">
        <f>VLOOKUP(A310,[1]Datasheet_2!$A$2:$H$611,3,FALSE)</f>
        <v>0.16669999999999999</v>
      </c>
      <c r="K310" s="9">
        <f>VLOOKUP(A310,[1]Datasheet_2!$A$2:$H$611,4,FALSE)</f>
        <v>0.68</v>
      </c>
      <c r="L310" s="8">
        <f>VLOOKUP(A310,[1]Datasheet_2!$A$2:$H$611,5,FALSE)</f>
        <v>0</v>
      </c>
      <c r="M310" s="8">
        <f>VLOOKUP(A310,[1]Datasheet_2!$A$2:$H$611,6,FALSE)</f>
        <v>2</v>
      </c>
      <c r="N310" s="8">
        <f>VLOOKUP(A310,[1]Datasheet_2!$A$2:$H$611,7,FALSE)</f>
        <v>156</v>
      </c>
      <c r="O310" s="9">
        <f>VLOOKUP(A310,[1]Datasheet_2!$A$2:$H$611,8,FALSE)</f>
        <v>158</v>
      </c>
    </row>
    <row r="311" spans="1:15" x14ac:dyDescent="0.3">
      <c r="A311" s="4">
        <v>310</v>
      </c>
      <c r="B311" s="5">
        <v>40557</v>
      </c>
      <c r="C311" s="4">
        <v>1</v>
      </c>
      <c r="D311" s="4">
        <v>9</v>
      </c>
      <c r="E311" s="4" t="b">
        <v>0</v>
      </c>
      <c r="F311" s="4">
        <v>5</v>
      </c>
      <c r="G311" s="4">
        <v>1</v>
      </c>
      <c r="H311" s="4">
        <v>0.14000000000000001</v>
      </c>
      <c r="I311">
        <f>VLOOKUP(A311,[1]Datasheet_2!$A$2:$H$611,2,FALSE)</f>
        <v>309</v>
      </c>
      <c r="J311">
        <f>VLOOKUP(A311,[1]Datasheet_2!$A$2:$H$611,3,FALSE)</f>
        <v>0.1515</v>
      </c>
      <c r="K311" s="9">
        <f>VLOOKUP(A311,[1]Datasheet_2!$A$2:$H$611,4,FALSE)</f>
        <v>0.69</v>
      </c>
      <c r="L311" s="8">
        <f>VLOOKUP(A311,[1]Datasheet_2!$A$2:$H$611,5,FALSE)</f>
        <v>0.1343</v>
      </c>
      <c r="M311" s="8">
        <f>VLOOKUP(A311,[1]Datasheet_2!$A$2:$H$611,6,FALSE)</f>
        <v>0</v>
      </c>
      <c r="N311" s="8">
        <f>VLOOKUP(A311,[1]Datasheet_2!$A$2:$H$611,7,FALSE)</f>
        <v>117</v>
      </c>
      <c r="O311" s="9">
        <f>VLOOKUP(A311,[1]Datasheet_2!$A$2:$H$611,8,FALSE)</f>
        <v>117</v>
      </c>
    </row>
    <row r="312" spans="1:15" x14ac:dyDescent="0.3">
      <c r="A312" s="4">
        <v>311</v>
      </c>
      <c r="B312" s="5">
        <v>40557</v>
      </c>
      <c r="C312" s="4">
        <v>1</v>
      </c>
      <c r="D312" s="4">
        <v>10</v>
      </c>
      <c r="E312" s="4" t="b">
        <v>0</v>
      </c>
      <c r="F312" s="4">
        <v>5</v>
      </c>
      <c r="G312" s="4">
        <v>1</v>
      </c>
      <c r="H312" s="4">
        <v>0.18</v>
      </c>
      <c r="I312">
        <f>VLOOKUP(A312,[1]Datasheet_2!$A$2:$H$611,2,FALSE)</f>
        <v>310</v>
      </c>
      <c r="J312">
        <f>VLOOKUP(A312,[1]Datasheet_2!$A$2:$H$611,3,FALSE)</f>
        <v>0.18179999999999999</v>
      </c>
      <c r="K312" s="9">
        <f>VLOOKUP(A312,[1]Datasheet_2!$A$2:$H$611,4,FALSE)</f>
        <v>0.55000000000000004</v>
      </c>
      <c r="L312" s="8">
        <f>VLOOKUP(A312,[1]Datasheet_2!$A$2:$H$611,5,FALSE)</f>
        <v>0.19400000000000001</v>
      </c>
      <c r="M312" s="8">
        <f>VLOOKUP(A312,[1]Datasheet_2!$A$2:$H$611,6,FALSE)</f>
        <v>4</v>
      </c>
      <c r="N312" s="8">
        <f>VLOOKUP(A312,[1]Datasheet_2!$A$2:$H$611,7,FALSE)</f>
        <v>40</v>
      </c>
      <c r="O312" s="9">
        <f>VLOOKUP(A312,[1]Datasheet_2!$A$2:$H$611,8,FALSE)</f>
        <v>44</v>
      </c>
    </row>
    <row r="313" spans="1:15" x14ac:dyDescent="0.3">
      <c r="A313" s="4">
        <v>312</v>
      </c>
      <c r="B313" s="5">
        <v>40557</v>
      </c>
      <c r="C313" s="4">
        <v>1</v>
      </c>
      <c r="D313" s="4">
        <v>11</v>
      </c>
      <c r="E313" s="4" t="b">
        <v>0</v>
      </c>
      <c r="F313" s="4">
        <v>5</v>
      </c>
      <c r="G313" s="4">
        <v>1</v>
      </c>
      <c r="H313" s="4">
        <v>0.18</v>
      </c>
      <c r="I313">
        <f>VLOOKUP(A313,[1]Datasheet_2!$A$2:$H$611,2,FALSE)</f>
        <v>311</v>
      </c>
      <c r="J313">
        <f>VLOOKUP(A313,[1]Datasheet_2!$A$2:$H$611,3,FALSE)</f>
        <v>0.16669999999999999</v>
      </c>
      <c r="K313" s="9">
        <f>VLOOKUP(A313,[1]Datasheet_2!$A$2:$H$611,4,FALSE)</f>
        <v>0.51</v>
      </c>
      <c r="L313" s="8">
        <f>VLOOKUP(A313,[1]Datasheet_2!$A$2:$H$611,5,FALSE)</f>
        <v>0.28360000000000002</v>
      </c>
      <c r="M313" s="8">
        <f>VLOOKUP(A313,[1]Datasheet_2!$A$2:$H$611,6,FALSE)</f>
        <v>6</v>
      </c>
      <c r="N313" s="8">
        <f>VLOOKUP(A313,[1]Datasheet_2!$A$2:$H$611,7,FALSE)</f>
        <v>47</v>
      </c>
      <c r="O313" s="9">
        <f>VLOOKUP(A313,[1]Datasheet_2!$A$2:$H$611,8,FALSE)</f>
        <v>53</v>
      </c>
    </row>
    <row r="314" spans="1:15" x14ac:dyDescent="0.3">
      <c r="A314" s="4">
        <v>313</v>
      </c>
      <c r="B314" s="5">
        <v>40557</v>
      </c>
      <c r="C314" s="4">
        <v>1</v>
      </c>
      <c r="D314" s="4">
        <v>12</v>
      </c>
      <c r="E314" s="4" t="b">
        <v>0</v>
      </c>
      <c r="F314" s="4">
        <v>5</v>
      </c>
      <c r="G314" s="4">
        <v>1</v>
      </c>
      <c r="H314" s="4">
        <v>0.2</v>
      </c>
      <c r="I314">
        <f>VLOOKUP(A314,[1]Datasheet_2!$A$2:$H$611,2,FALSE)</f>
        <v>312</v>
      </c>
      <c r="J314">
        <f>VLOOKUP(A314,[1]Datasheet_2!$A$2:$H$611,3,FALSE)</f>
        <v>0.19700000000000001</v>
      </c>
      <c r="K314" s="9">
        <f>VLOOKUP(A314,[1]Datasheet_2!$A$2:$H$611,4,FALSE)</f>
        <v>0.44</v>
      </c>
      <c r="L314" s="8">
        <f>VLOOKUP(A314,[1]Datasheet_2!$A$2:$H$611,5,FALSE)</f>
        <v>0.25369999999999998</v>
      </c>
      <c r="M314" s="8">
        <f>VLOOKUP(A314,[1]Datasheet_2!$A$2:$H$611,6,FALSE)</f>
        <v>2</v>
      </c>
      <c r="N314" s="8">
        <f>VLOOKUP(A314,[1]Datasheet_2!$A$2:$H$611,7,FALSE)</f>
        <v>59</v>
      </c>
      <c r="O314" s="9">
        <f>VLOOKUP(A314,[1]Datasheet_2!$A$2:$H$611,8,FALSE)</f>
        <v>61</v>
      </c>
    </row>
    <row r="315" spans="1:15" x14ac:dyDescent="0.3">
      <c r="A315" s="4">
        <v>314</v>
      </c>
      <c r="B315" s="5">
        <v>40557</v>
      </c>
      <c r="C315" s="4">
        <v>1</v>
      </c>
      <c r="D315" s="4">
        <v>13</v>
      </c>
      <c r="E315" s="4" t="b">
        <v>0</v>
      </c>
      <c r="F315" s="4">
        <v>5</v>
      </c>
      <c r="G315" s="4">
        <v>1</v>
      </c>
      <c r="H315" s="4">
        <v>0.22</v>
      </c>
      <c r="I315">
        <f>VLOOKUP(A315,[1]Datasheet_2!$A$2:$H$611,2,FALSE)</f>
        <v>313</v>
      </c>
      <c r="J315">
        <f>VLOOKUP(A315,[1]Datasheet_2!$A$2:$H$611,3,FALSE)</f>
        <v>0.19700000000000001</v>
      </c>
      <c r="K315" s="9">
        <f>VLOOKUP(A315,[1]Datasheet_2!$A$2:$H$611,4,FALSE)</f>
        <v>0.37</v>
      </c>
      <c r="L315" s="8">
        <f>VLOOKUP(A315,[1]Datasheet_2!$A$2:$H$611,5,FALSE)</f>
        <v>0.3881</v>
      </c>
      <c r="M315" s="8">
        <f>VLOOKUP(A315,[1]Datasheet_2!$A$2:$H$611,6,FALSE)</f>
        <v>4</v>
      </c>
      <c r="N315" s="8">
        <f>VLOOKUP(A315,[1]Datasheet_2!$A$2:$H$611,7,FALSE)</f>
        <v>73</v>
      </c>
      <c r="O315" s="9">
        <f>VLOOKUP(A315,[1]Datasheet_2!$A$2:$H$611,8,FALSE)</f>
        <v>77</v>
      </c>
    </row>
    <row r="316" spans="1:15" x14ac:dyDescent="0.3">
      <c r="A316" s="4">
        <v>315</v>
      </c>
      <c r="B316" s="5">
        <v>40557</v>
      </c>
      <c r="C316" s="4">
        <v>1</v>
      </c>
      <c r="D316" s="4">
        <v>14</v>
      </c>
      <c r="E316" s="4" t="b">
        <v>0</v>
      </c>
      <c r="F316" s="4">
        <v>5</v>
      </c>
      <c r="G316" s="4">
        <v>1</v>
      </c>
      <c r="H316" s="4">
        <v>0.22</v>
      </c>
      <c r="I316">
        <f>VLOOKUP(A316,[1]Datasheet_2!$A$2:$H$611,2,FALSE)</f>
        <v>314</v>
      </c>
      <c r="J316">
        <f>VLOOKUP(A316,[1]Datasheet_2!$A$2:$H$611,3,FALSE)</f>
        <v>0.21210000000000001</v>
      </c>
      <c r="K316" s="9">
        <f>VLOOKUP(A316,[1]Datasheet_2!$A$2:$H$611,4,FALSE)</f>
        <v>0.41</v>
      </c>
      <c r="L316" s="8">
        <f>VLOOKUP(A316,[1]Datasheet_2!$A$2:$H$611,5,FALSE)</f>
        <v>0.28360000000000002</v>
      </c>
      <c r="M316" s="8">
        <f>VLOOKUP(A316,[1]Datasheet_2!$A$2:$H$611,6,FALSE)</f>
        <v>5</v>
      </c>
      <c r="N316" s="8">
        <f>VLOOKUP(A316,[1]Datasheet_2!$A$2:$H$611,7,FALSE)</f>
        <v>59</v>
      </c>
      <c r="O316" s="9">
        <f>VLOOKUP(A316,[1]Datasheet_2!$A$2:$H$611,8,FALSE)</f>
        <v>64</v>
      </c>
    </row>
    <row r="317" spans="1:15" x14ac:dyDescent="0.3">
      <c r="A317" s="4">
        <v>316</v>
      </c>
      <c r="B317" s="5">
        <v>40557</v>
      </c>
      <c r="C317" s="4">
        <v>1</v>
      </c>
      <c r="D317" s="4">
        <v>15</v>
      </c>
      <c r="E317" s="4" t="b">
        <v>0</v>
      </c>
      <c r="F317" s="4">
        <v>5</v>
      </c>
      <c r="G317" s="4">
        <v>1</v>
      </c>
      <c r="H317" s="4">
        <v>0.24</v>
      </c>
      <c r="I317">
        <f>VLOOKUP(A317,[1]Datasheet_2!$A$2:$H$611,2,FALSE)</f>
        <v>315</v>
      </c>
      <c r="J317">
        <f>VLOOKUP(A317,[1]Datasheet_2!$A$2:$H$611,3,FALSE)</f>
        <v>0.2424</v>
      </c>
      <c r="K317" s="9">
        <f>VLOOKUP(A317,[1]Datasheet_2!$A$2:$H$611,4,FALSE)</f>
        <v>0.38</v>
      </c>
      <c r="L317" s="8">
        <f>VLOOKUP(A317,[1]Datasheet_2!$A$2:$H$611,5,FALSE)</f>
        <v>0.16420000000000001</v>
      </c>
      <c r="M317" s="8">
        <f>VLOOKUP(A317,[1]Datasheet_2!$A$2:$H$611,6,FALSE)</f>
        <v>9</v>
      </c>
      <c r="N317" s="8">
        <f>VLOOKUP(A317,[1]Datasheet_2!$A$2:$H$611,7,FALSE)</f>
        <v>59</v>
      </c>
      <c r="O317" s="9">
        <f>VLOOKUP(A317,[1]Datasheet_2!$A$2:$H$611,8,FALSE)</f>
        <v>68</v>
      </c>
    </row>
    <row r="318" spans="1:15" x14ac:dyDescent="0.3">
      <c r="A318" s="4">
        <v>317</v>
      </c>
      <c r="B318" s="5">
        <v>40557</v>
      </c>
      <c r="C318" s="4">
        <v>1</v>
      </c>
      <c r="D318" s="4">
        <v>16</v>
      </c>
      <c r="E318" s="4" t="b">
        <v>0</v>
      </c>
      <c r="F318" s="4">
        <v>5</v>
      </c>
      <c r="G318" s="4">
        <v>1</v>
      </c>
      <c r="H318" s="4">
        <v>0.22</v>
      </c>
      <c r="I318">
        <f>VLOOKUP(A318,[1]Datasheet_2!$A$2:$H$611,2,FALSE)</f>
        <v>316</v>
      </c>
      <c r="J318">
        <f>VLOOKUP(A318,[1]Datasheet_2!$A$2:$H$611,3,FALSE)</f>
        <v>0.2424</v>
      </c>
      <c r="K318" s="9">
        <f>VLOOKUP(A318,[1]Datasheet_2!$A$2:$H$611,4,FALSE)</f>
        <v>0.41</v>
      </c>
      <c r="L318" s="8">
        <f>VLOOKUP(A318,[1]Datasheet_2!$A$2:$H$611,5,FALSE)</f>
        <v>0.1045</v>
      </c>
      <c r="M318" s="8">
        <f>VLOOKUP(A318,[1]Datasheet_2!$A$2:$H$611,6,FALSE)</f>
        <v>3</v>
      </c>
      <c r="N318" s="8">
        <f>VLOOKUP(A318,[1]Datasheet_2!$A$2:$H$611,7,FALSE)</f>
        <v>87</v>
      </c>
      <c r="O318" s="9">
        <f>VLOOKUP(A318,[1]Datasheet_2!$A$2:$H$611,8,FALSE)</f>
        <v>90</v>
      </c>
    </row>
    <row r="319" spans="1:15" x14ac:dyDescent="0.3">
      <c r="A319" s="4">
        <v>318</v>
      </c>
      <c r="B319" s="5">
        <v>40557</v>
      </c>
      <c r="C319" s="4">
        <v>1</v>
      </c>
      <c r="D319" s="4">
        <v>17</v>
      </c>
      <c r="E319" s="4" t="b">
        <v>0</v>
      </c>
      <c r="F319" s="4">
        <v>5</v>
      </c>
      <c r="G319" s="4">
        <v>1</v>
      </c>
      <c r="H319" s="4">
        <v>0.22</v>
      </c>
      <c r="I319">
        <f>VLOOKUP(A319,[1]Datasheet_2!$A$2:$H$611,2,FALSE)</f>
        <v>317</v>
      </c>
      <c r="J319">
        <f>VLOOKUP(A319,[1]Datasheet_2!$A$2:$H$611,3,FALSE)</f>
        <v>0.2273</v>
      </c>
      <c r="K319" s="9">
        <f>VLOOKUP(A319,[1]Datasheet_2!$A$2:$H$611,4,FALSE)</f>
        <v>0.41</v>
      </c>
      <c r="L319" s="8">
        <f>VLOOKUP(A319,[1]Datasheet_2!$A$2:$H$611,5,FALSE)</f>
        <v>0.16420000000000001</v>
      </c>
      <c r="M319" s="8">
        <f>VLOOKUP(A319,[1]Datasheet_2!$A$2:$H$611,6,FALSE)</f>
        <v>4</v>
      </c>
      <c r="N319" s="8">
        <f>VLOOKUP(A319,[1]Datasheet_2!$A$2:$H$611,7,FALSE)</f>
        <v>155</v>
      </c>
      <c r="O319" s="9">
        <f>VLOOKUP(A319,[1]Datasheet_2!$A$2:$H$611,8,FALSE)</f>
        <v>159</v>
      </c>
    </row>
    <row r="320" spans="1:15" x14ac:dyDescent="0.3">
      <c r="A320" s="4">
        <v>319</v>
      </c>
      <c r="B320" s="5">
        <v>40557</v>
      </c>
      <c r="C320" s="4">
        <v>1</v>
      </c>
      <c r="D320" s="4">
        <v>18</v>
      </c>
      <c r="E320" s="4" t="b">
        <v>0</v>
      </c>
      <c r="F320" s="4">
        <v>5</v>
      </c>
      <c r="G320" s="4">
        <v>1</v>
      </c>
      <c r="H320" s="4">
        <v>0.2</v>
      </c>
      <c r="I320">
        <f>VLOOKUP(A320,[1]Datasheet_2!$A$2:$H$611,2,FALSE)</f>
        <v>318</v>
      </c>
      <c r="J320">
        <f>VLOOKUP(A320,[1]Datasheet_2!$A$2:$H$611,3,FALSE)</f>
        <v>0.2576</v>
      </c>
      <c r="K320" s="9">
        <f>VLOOKUP(A320,[1]Datasheet_2!$A$2:$H$611,4,FALSE)</f>
        <v>0.47</v>
      </c>
      <c r="L320" s="8">
        <f>VLOOKUP(A320,[1]Datasheet_2!$A$2:$H$611,5,FALSE)</f>
        <v>0</v>
      </c>
      <c r="M320" s="8">
        <f>VLOOKUP(A320,[1]Datasheet_2!$A$2:$H$611,6,FALSE)</f>
        <v>5</v>
      </c>
      <c r="N320" s="8">
        <f>VLOOKUP(A320,[1]Datasheet_2!$A$2:$H$611,7,FALSE)</f>
        <v>134</v>
      </c>
      <c r="O320" s="9">
        <f>VLOOKUP(A320,[1]Datasheet_2!$A$2:$H$611,8,FALSE)</f>
        <v>139</v>
      </c>
    </row>
    <row r="321" spans="1:15" x14ac:dyDescent="0.3">
      <c r="A321" s="4">
        <v>320</v>
      </c>
      <c r="B321" s="5">
        <v>40557</v>
      </c>
      <c r="C321" s="4">
        <v>1</v>
      </c>
      <c r="D321" s="4">
        <v>19</v>
      </c>
      <c r="E321" s="4" t="b">
        <v>0</v>
      </c>
      <c r="F321" s="4">
        <v>5</v>
      </c>
      <c r="G321" s="4">
        <v>1</v>
      </c>
      <c r="H321" s="4">
        <v>0.16</v>
      </c>
      <c r="I321">
        <f>VLOOKUP(A321,[1]Datasheet_2!$A$2:$H$611,2,FALSE)</f>
        <v>319</v>
      </c>
      <c r="J321">
        <f>VLOOKUP(A321,[1]Datasheet_2!$A$2:$H$611,3,FALSE)</f>
        <v>0.19700000000000001</v>
      </c>
      <c r="K321" s="9">
        <f>VLOOKUP(A321,[1]Datasheet_2!$A$2:$H$611,4,FALSE)</f>
        <v>0.59</v>
      </c>
      <c r="L321" s="8">
        <f>VLOOKUP(A321,[1]Datasheet_2!$A$2:$H$611,5,FALSE)</f>
        <v>8.9599999999999999E-2</v>
      </c>
      <c r="M321" s="8">
        <f>VLOOKUP(A321,[1]Datasheet_2!$A$2:$H$611,6,FALSE)</f>
        <v>3</v>
      </c>
      <c r="N321" s="8">
        <f>VLOOKUP(A321,[1]Datasheet_2!$A$2:$H$611,7,FALSE)</f>
        <v>89</v>
      </c>
      <c r="O321" s="9">
        <f>VLOOKUP(A321,[1]Datasheet_2!$A$2:$H$611,8,FALSE)</f>
        <v>92</v>
      </c>
    </row>
    <row r="322" spans="1:15" x14ac:dyDescent="0.3">
      <c r="A322" s="4">
        <v>321</v>
      </c>
      <c r="B322" s="5">
        <v>40557</v>
      </c>
      <c r="C322" s="4">
        <v>1</v>
      </c>
      <c r="D322" s="4">
        <v>20</v>
      </c>
      <c r="E322" s="4" t="b">
        <v>0</v>
      </c>
      <c r="F322" s="4">
        <v>5</v>
      </c>
      <c r="G322" s="4">
        <v>1</v>
      </c>
      <c r="H322" s="4">
        <v>0.18</v>
      </c>
      <c r="I322">
        <f>VLOOKUP(A322,[1]Datasheet_2!$A$2:$H$611,2,FALSE)</f>
        <v>320</v>
      </c>
      <c r="J322">
        <f>VLOOKUP(A322,[1]Datasheet_2!$A$2:$H$611,3,FALSE)</f>
        <v>0.2424</v>
      </c>
      <c r="K322" s="9">
        <f>VLOOKUP(A322,[1]Datasheet_2!$A$2:$H$611,4,FALSE)</f>
        <v>0.59</v>
      </c>
      <c r="L322" s="8">
        <f>VLOOKUP(A322,[1]Datasheet_2!$A$2:$H$611,5,FALSE)</f>
        <v>0</v>
      </c>
      <c r="M322" s="8">
        <f>VLOOKUP(A322,[1]Datasheet_2!$A$2:$H$611,6,FALSE)</f>
        <v>0</v>
      </c>
      <c r="N322" s="8">
        <f>VLOOKUP(A322,[1]Datasheet_2!$A$2:$H$611,7,FALSE)</f>
        <v>68</v>
      </c>
      <c r="O322" s="9">
        <f>VLOOKUP(A322,[1]Datasheet_2!$A$2:$H$611,8,FALSE)</f>
        <v>68</v>
      </c>
    </row>
    <row r="323" spans="1:15" x14ac:dyDescent="0.3">
      <c r="A323" s="4">
        <v>322</v>
      </c>
      <c r="B323" s="5">
        <v>40557</v>
      </c>
      <c r="C323" s="4">
        <v>1</v>
      </c>
      <c r="D323" s="4">
        <v>21</v>
      </c>
      <c r="E323" s="4" t="b">
        <v>0</v>
      </c>
      <c r="F323" s="4">
        <v>5</v>
      </c>
      <c r="G323" s="4">
        <v>1</v>
      </c>
      <c r="H323" s="4">
        <v>0.16</v>
      </c>
      <c r="I323">
        <f>VLOOKUP(A323,[1]Datasheet_2!$A$2:$H$611,2,FALSE)</f>
        <v>321</v>
      </c>
      <c r="J323">
        <f>VLOOKUP(A323,[1]Datasheet_2!$A$2:$H$611,3,FALSE)</f>
        <v>0.2273</v>
      </c>
      <c r="K323" s="9">
        <f>VLOOKUP(A323,[1]Datasheet_2!$A$2:$H$611,4,FALSE)</f>
        <v>0.69</v>
      </c>
      <c r="L323" s="8">
        <f>VLOOKUP(A323,[1]Datasheet_2!$A$2:$H$611,5,FALSE)</f>
        <v>0</v>
      </c>
      <c r="M323" s="8">
        <f>VLOOKUP(A323,[1]Datasheet_2!$A$2:$H$611,6,FALSE)</f>
        <v>4</v>
      </c>
      <c r="N323" s="8">
        <f>VLOOKUP(A323,[1]Datasheet_2!$A$2:$H$611,7,FALSE)</f>
        <v>48</v>
      </c>
      <c r="O323" s="9">
        <f>VLOOKUP(A323,[1]Datasheet_2!$A$2:$H$611,8,FALSE)</f>
        <v>52</v>
      </c>
    </row>
    <row r="324" spans="1:15" x14ac:dyDescent="0.3">
      <c r="A324" s="4">
        <v>323</v>
      </c>
      <c r="B324" s="5">
        <v>40557</v>
      </c>
      <c r="C324" s="4">
        <v>1</v>
      </c>
      <c r="D324" s="4">
        <v>22</v>
      </c>
      <c r="E324" s="4" t="b">
        <v>0</v>
      </c>
      <c r="F324" s="4">
        <v>5</v>
      </c>
      <c r="G324" s="4">
        <v>2</v>
      </c>
      <c r="H324" s="4">
        <v>0.16</v>
      </c>
      <c r="I324">
        <f>VLOOKUP(A324,[1]Datasheet_2!$A$2:$H$611,2,FALSE)</f>
        <v>322</v>
      </c>
      <c r="J324">
        <f>VLOOKUP(A324,[1]Datasheet_2!$A$2:$H$611,3,FALSE)</f>
        <v>0.2273</v>
      </c>
      <c r="K324" s="9">
        <f>VLOOKUP(A324,[1]Datasheet_2!$A$2:$H$611,4,FALSE)</f>
        <v>0.69</v>
      </c>
      <c r="L324" s="8">
        <f>VLOOKUP(A324,[1]Datasheet_2!$A$2:$H$611,5,FALSE)</f>
        <v>0</v>
      </c>
      <c r="M324" s="8">
        <f>VLOOKUP(A324,[1]Datasheet_2!$A$2:$H$611,6,FALSE)</f>
        <v>2</v>
      </c>
      <c r="N324" s="8">
        <f>VLOOKUP(A324,[1]Datasheet_2!$A$2:$H$611,7,FALSE)</f>
        <v>34</v>
      </c>
      <c r="O324" s="9">
        <f>VLOOKUP(A324,[1]Datasheet_2!$A$2:$H$611,8,FALSE)</f>
        <v>36</v>
      </c>
    </row>
    <row r="325" spans="1:15" x14ac:dyDescent="0.3">
      <c r="A325" s="4">
        <v>324</v>
      </c>
      <c r="B325" s="5">
        <v>40557</v>
      </c>
      <c r="C325" s="4">
        <v>1</v>
      </c>
      <c r="D325" s="4">
        <v>23</v>
      </c>
      <c r="E325" s="4" t="b">
        <v>0</v>
      </c>
      <c r="F325" s="4">
        <v>5</v>
      </c>
      <c r="G325" s="4">
        <v>2</v>
      </c>
      <c r="H325" s="4">
        <v>0.18</v>
      </c>
      <c r="I325">
        <f>VLOOKUP(A325,[1]Datasheet_2!$A$2:$H$611,2,FALSE)</f>
        <v>323</v>
      </c>
      <c r="J325">
        <f>VLOOKUP(A325,[1]Datasheet_2!$A$2:$H$611,3,FALSE)</f>
        <v>0.2424</v>
      </c>
      <c r="K325" s="9">
        <f>VLOOKUP(A325,[1]Datasheet_2!$A$2:$H$611,4,FALSE)</f>
        <v>0.55000000000000004</v>
      </c>
      <c r="L325" s="8">
        <f>VLOOKUP(A325,[1]Datasheet_2!$A$2:$H$611,5,FALSE)</f>
        <v>0</v>
      </c>
      <c r="M325" s="8">
        <f>VLOOKUP(A325,[1]Datasheet_2!$A$2:$H$611,6,FALSE)</f>
        <v>1</v>
      </c>
      <c r="N325" s="8">
        <f>VLOOKUP(A325,[1]Datasheet_2!$A$2:$H$611,7,FALSE)</f>
        <v>26</v>
      </c>
      <c r="O325" s="9">
        <f>VLOOKUP(A325,[1]Datasheet_2!$A$2:$H$611,8,FALSE)</f>
        <v>27</v>
      </c>
    </row>
    <row r="326" spans="1:15" x14ac:dyDescent="0.3">
      <c r="A326" s="4">
        <v>325</v>
      </c>
      <c r="B326" s="5">
        <v>40558</v>
      </c>
      <c r="C326" s="4">
        <v>1</v>
      </c>
      <c r="D326" s="4">
        <v>0</v>
      </c>
      <c r="E326" s="4" t="b">
        <v>0</v>
      </c>
      <c r="F326" s="4">
        <v>6</v>
      </c>
      <c r="G326" s="4">
        <v>1</v>
      </c>
      <c r="H326" s="4">
        <v>0.18</v>
      </c>
      <c r="I326">
        <f>VLOOKUP(A326,[1]Datasheet_2!$A$2:$H$611,2,FALSE)</f>
        <v>324</v>
      </c>
      <c r="J326">
        <f>VLOOKUP(A326,[1]Datasheet_2!$A$2:$H$611,3,FALSE)</f>
        <v>0.2424</v>
      </c>
      <c r="K326" s="9">
        <f>VLOOKUP(A326,[1]Datasheet_2!$A$2:$H$611,4,FALSE)</f>
        <v>0.55000000000000004</v>
      </c>
      <c r="L326" s="8">
        <f>VLOOKUP(A326,[1]Datasheet_2!$A$2:$H$611,5,FALSE)</f>
        <v>0</v>
      </c>
      <c r="M326" s="8">
        <f>VLOOKUP(A326,[1]Datasheet_2!$A$2:$H$611,6,FALSE)</f>
        <v>3</v>
      </c>
      <c r="N326" s="8">
        <f>VLOOKUP(A326,[1]Datasheet_2!$A$2:$H$611,7,FALSE)</f>
        <v>25</v>
      </c>
      <c r="O326" s="9">
        <f>VLOOKUP(A326,[1]Datasheet_2!$A$2:$H$611,8,FALSE)</f>
        <v>28</v>
      </c>
    </row>
    <row r="327" spans="1:15" x14ac:dyDescent="0.3">
      <c r="A327" s="4">
        <v>326</v>
      </c>
      <c r="B327" s="5">
        <v>40558</v>
      </c>
      <c r="C327" s="4">
        <v>1</v>
      </c>
      <c r="D327" s="4">
        <v>1</v>
      </c>
      <c r="E327" s="4" t="b">
        <v>0</v>
      </c>
      <c r="F327" s="4">
        <v>6</v>
      </c>
      <c r="G327" s="4">
        <v>2</v>
      </c>
      <c r="H327" s="4">
        <v>0.16</v>
      </c>
      <c r="I327">
        <f>VLOOKUP(A327,[1]Datasheet_2!$A$2:$H$611,2,FALSE)</f>
        <v>325</v>
      </c>
      <c r="J327">
        <f>VLOOKUP(A327,[1]Datasheet_2!$A$2:$H$611,3,FALSE)</f>
        <v>0.19700000000000001</v>
      </c>
      <c r="K327" s="9">
        <f>VLOOKUP(A327,[1]Datasheet_2!$A$2:$H$611,4,FALSE)</f>
        <v>0.59</v>
      </c>
      <c r="L327" s="8">
        <f>VLOOKUP(A327,[1]Datasheet_2!$A$2:$H$611,5,FALSE)</f>
        <v>8.9599999999999999E-2</v>
      </c>
      <c r="M327" s="8">
        <f>VLOOKUP(A327,[1]Datasheet_2!$A$2:$H$611,6,FALSE)</f>
        <v>2</v>
      </c>
      <c r="N327" s="8">
        <f>VLOOKUP(A327,[1]Datasheet_2!$A$2:$H$611,7,FALSE)</f>
        <v>18</v>
      </c>
      <c r="O327" s="9">
        <f>VLOOKUP(A327,[1]Datasheet_2!$A$2:$H$611,8,FALSE)</f>
        <v>20</v>
      </c>
    </row>
    <row r="328" spans="1:15" x14ac:dyDescent="0.3">
      <c r="A328" s="4">
        <v>327</v>
      </c>
      <c r="B328" s="5">
        <v>40558</v>
      </c>
      <c r="C328" s="4">
        <v>1</v>
      </c>
      <c r="D328" s="4">
        <v>2</v>
      </c>
      <c r="E328" s="4" t="b">
        <v>0</v>
      </c>
      <c r="F328" s="4">
        <v>6</v>
      </c>
      <c r="G328" s="4">
        <v>2</v>
      </c>
      <c r="H328" s="4">
        <v>0.16</v>
      </c>
      <c r="I328">
        <f>VLOOKUP(A328,[1]Datasheet_2!$A$2:$H$611,2,FALSE)</f>
        <v>326</v>
      </c>
      <c r="J328">
        <f>VLOOKUP(A328,[1]Datasheet_2!$A$2:$H$611,3,FALSE)</f>
        <v>0.19700000000000001</v>
      </c>
      <c r="K328" s="9">
        <f>VLOOKUP(A328,[1]Datasheet_2!$A$2:$H$611,4,FALSE)</f>
        <v>0.59</v>
      </c>
      <c r="L328" s="8">
        <f>VLOOKUP(A328,[1]Datasheet_2!$A$2:$H$611,5,FALSE)</f>
        <v>8.9599999999999999E-2</v>
      </c>
      <c r="M328" s="8">
        <f>VLOOKUP(A328,[1]Datasheet_2!$A$2:$H$611,6,FALSE)</f>
        <v>0</v>
      </c>
      <c r="N328" s="8">
        <f>VLOOKUP(A328,[1]Datasheet_2!$A$2:$H$611,7,FALSE)</f>
        <v>12</v>
      </c>
      <c r="O328" s="9">
        <f>VLOOKUP(A328,[1]Datasheet_2!$A$2:$H$611,8,FALSE)</f>
        <v>12</v>
      </c>
    </row>
    <row r="329" spans="1:15" x14ac:dyDescent="0.3">
      <c r="A329" s="4">
        <v>328</v>
      </c>
      <c r="B329" s="5">
        <v>40558</v>
      </c>
      <c r="C329" s="4">
        <v>1</v>
      </c>
      <c r="D329" s="4">
        <v>3</v>
      </c>
      <c r="E329" s="4" t="b">
        <v>0</v>
      </c>
      <c r="F329" s="4">
        <v>6</v>
      </c>
      <c r="G329" s="4">
        <v>2</v>
      </c>
      <c r="H329" s="4">
        <v>0.16</v>
      </c>
      <c r="I329">
        <f>VLOOKUP(A329,[1]Datasheet_2!$A$2:$H$611,2,FALSE)</f>
        <v>327</v>
      </c>
      <c r="J329">
        <f>VLOOKUP(A329,[1]Datasheet_2!$A$2:$H$611,3,FALSE)</f>
        <v>0.2273</v>
      </c>
      <c r="K329" s="9">
        <f>VLOOKUP(A329,[1]Datasheet_2!$A$2:$H$611,4,FALSE)</f>
        <v>0.59</v>
      </c>
      <c r="L329" s="8">
        <f>VLOOKUP(A329,[1]Datasheet_2!$A$2:$H$611,5,FALSE)</f>
        <v>0</v>
      </c>
      <c r="M329" s="8">
        <f>VLOOKUP(A329,[1]Datasheet_2!$A$2:$H$611,6,FALSE)</f>
        <v>1</v>
      </c>
      <c r="N329" s="8">
        <f>VLOOKUP(A329,[1]Datasheet_2!$A$2:$H$611,7,FALSE)</f>
        <v>7</v>
      </c>
      <c r="O329" s="9">
        <f>VLOOKUP(A329,[1]Datasheet_2!$A$2:$H$611,8,FALSE)</f>
        <v>8</v>
      </c>
    </row>
    <row r="330" spans="1:15" x14ac:dyDescent="0.3">
      <c r="A330" s="4">
        <v>329</v>
      </c>
      <c r="B330" s="5">
        <v>40558</v>
      </c>
      <c r="C330" s="4">
        <v>1</v>
      </c>
      <c r="D330" s="4">
        <v>4</v>
      </c>
      <c r="E330" s="4" t="b">
        <v>0</v>
      </c>
      <c r="F330" s="4">
        <v>6</v>
      </c>
      <c r="G330" s="4">
        <v>2</v>
      </c>
      <c r="H330" s="4">
        <v>0.16</v>
      </c>
      <c r="I330">
        <f>VLOOKUP(A330,[1]Datasheet_2!$A$2:$H$611,2,FALSE)</f>
        <v>328</v>
      </c>
      <c r="J330">
        <f>VLOOKUP(A330,[1]Datasheet_2!$A$2:$H$611,3,FALSE)</f>
        <v>0.2273</v>
      </c>
      <c r="K330" s="9">
        <f>VLOOKUP(A330,[1]Datasheet_2!$A$2:$H$611,4,FALSE)</f>
        <v>0.59</v>
      </c>
      <c r="L330" s="8">
        <f>VLOOKUP(A330,[1]Datasheet_2!$A$2:$H$611,5,FALSE)</f>
        <v>0</v>
      </c>
      <c r="M330" s="8">
        <f>VLOOKUP(A330,[1]Datasheet_2!$A$2:$H$611,6,FALSE)</f>
        <v>0</v>
      </c>
      <c r="N330" s="8">
        <f>VLOOKUP(A330,[1]Datasheet_2!$A$2:$H$611,7,FALSE)</f>
        <v>5</v>
      </c>
      <c r="O330" s="9">
        <f>VLOOKUP(A330,[1]Datasheet_2!$A$2:$H$611,8,FALSE)</f>
        <v>5</v>
      </c>
    </row>
    <row r="331" spans="1:15" x14ac:dyDescent="0.3">
      <c r="A331" s="4">
        <v>330</v>
      </c>
      <c r="B331" s="5">
        <v>40558</v>
      </c>
      <c r="C331" s="4">
        <v>1</v>
      </c>
      <c r="D331" s="4">
        <v>5</v>
      </c>
      <c r="E331" s="4" t="b">
        <v>0</v>
      </c>
      <c r="F331" s="4">
        <v>6</v>
      </c>
      <c r="G331" s="4">
        <v>1</v>
      </c>
      <c r="H331" s="4">
        <v>0.16</v>
      </c>
      <c r="I331">
        <f>VLOOKUP(A331,[1]Datasheet_2!$A$2:$H$611,2,FALSE)</f>
        <v>329</v>
      </c>
      <c r="J331">
        <f>VLOOKUP(A331,[1]Datasheet_2!$A$2:$H$611,3,FALSE)</f>
        <v>0.2273</v>
      </c>
      <c r="K331" s="9">
        <f>VLOOKUP(A331,[1]Datasheet_2!$A$2:$H$611,4,FALSE)</f>
        <v>0.59</v>
      </c>
      <c r="L331" s="8">
        <f>VLOOKUP(A331,[1]Datasheet_2!$A$2:$H$611,5,FALSE)</f>
        <v>0</v>
      </c>
      <c r="M331" s="8">
        <f>VLOOKUP(A331,[1]Datasheet_2!$A$2:$H$611,6,FALSE)</f>
        <v>0</v>
      </c>
      <c r="N331" s="8">
        <f>VLOOKUP(A331,[1]Datasheet_2!$A$2:$H$611,7,FALSE)</f>
        <v>1</v>
      </c>
      <c r="O331" s="9">
        <f>VLOOKUP(A331,[1]Datasheet_2!$A$2:$H$611,8,FALSE)</f>
        <v>1</v>
      </c>
    </row>
    <row r="332" spans="1:15" x14ac:dyDescent="0.3">
      <c r="A332" s="4">
        <v>331</v>
      </c>
      <c r="B332" s="5">
        <v>40558</v>
      </c>
      <c r="C332" s="4">
        <v>1</v>
      </c>
      <c r="D332" s="4">
        <v>6</v>
      </c>
      <c r="E332" s="4" t="b">
        <v>0</v>
      </c>
      <c r="F332" s="4">
        <v>6</v>
      </c>
      <c r="G332" s="4">
        <v>1</v>
      </c>
      <c r="H332" s="4">
        <v>0.14000000000000001</v>
      </c>
      <c r="I332">
        <f>VLOOKUP(A332,[1]Datasheet_2!$A$2:$H$611,2,FALSE)</f>
        <v>330</v>
      </c>
      <c r="J332">
        <f>VLOOKUP(A332,[1]Datasheet_2!$A$2:$H$611,3,FALSE)</f>
        <v>0.16669999999999999</v>
      </c>
      <c r="K332" s="9">
        <f>VLOOKUP(A332,[1]Datasheet_2!$A$2:$H$611,4,FALSE)</f>
        <v>0.63</v>
      </c>
      <c r="L332" s="8">
        <f>VLOOKUP(A332,[1]Datasheet_2!$A$2:$H$611,5,FALSE)</f>
        <v>0.1045</v>
      </c>
      <c r="M332" s="8">
        <f>VLOOKUP(A332,[1]Datasheet_2!$A$2:$H$611,6,FALSE)</f>
        <v>1</v>
      </c>
      <c r="N332" s="8">
        <f>VLOOKUP(A332,[1]Datasheet_2!$A$2:$H$611,7,FALSE)</f>
        <v>2</v>
      </c>
      <c r="O332" s="9">
        <f>VLOOKUP(A332,[1]Datasheet_2!$A$2:$H$611,8,FALSE)</f>
        <v>3</v>
      </c>
    </row>
    <row r="333" spans="1:15" x14ac:dyDescent="0.3">
      <c r="A333" s="4">
        <v>332</v>
      </c>
      <c r="B333" s="5">
        <v>40558</v>
      </c>
      <c r="C333" s="4">
        <v>1</v>
      </c>
      <c r="D333" s="4">
        <v>7</v>
      </c>
      <c r="E333" s="4" t="b">
        <v>0</v>
      </c>
      <c r="F333" s="4">
        <v>6</v>
      </c>
      <c r="G333" s="4">
        <v>1</v>
      </c>
      <c r="H333" s="4">
        <v>0.14000000000000001</v>
      </c>
      <c r="I333">
        <f>VLOOKUP(A333,[1]Datasheet_2!$A$2:$H$611,2,FALSE)</f>
        <v>331</v>
      </c>
      <c r="J333">
        <f>VLOOKUP(A333,[1]Datasheet_2!$A$2:$H$611,3,FALSE)</f>
        <v>0.21210000000000001</v>
      </c>
      <c r="K333" s="9">
        <f>VLOOKUP(A333,[1]Datasheet_2!$A$2:$H$611,4,FALSE)</f>
        <v>0.63</v>
      </c>
      <c r="L333" s="8">
        <f>VLOOKUP(A333,[1]Datasheet_2!$A$2:$H$611,5,FALSE)</f>
        <v>0</v>
      </c>
      <c r="M333" s="8">
        <f>VLOOKUP(A333,[1]Datasheet_2!$A$2:$H$611,6,FALSE)</f>
        <v>1</v>
      </c>
      <c r="N333" s="8">
        <f>VLOOKUP(A333,[1]Datasheet_2!$A$2:$H$611,7,FALSE)</f>
        <v>9</v>
      </c>
      <c r="O333" s="9">
        <f>VLOOKUP(A333,[1]Datasheet_2!$A$2:$H$611,8,FALSE)</f>
        <v>10</v>
      </c>
    </row>
    <row r="334" spans="1:15" x14ac:dyDescent="0.3">
      <c r="A334" s="4">
        <v>333</v>
      </c>
      <c r="B334" s="5">
        <v>40558</v>
      </c>
      <c r="C334" s="4">
        <v>1</v>
      </c>
      <c r="D334" s="4">
        <v>8</v>
      </c>
      <c r="E334" s="4" t="b">
        <v>0</v>
      </c>
      <c r="F334" s="4">
        <v>6</v>
      </c>
      <c r="G334" s="4">
        <v>1</v>
      </c>
      <c r="H334" s="4">
        <v>0.14000000000000001</v>
      </c>
      <c r="I334">
        <f>VLOOKUP(A334,[1]Datasheet_2!$A$2:$H$611,2,FALSE)</f>
        <v>332</v>
      </c>
      <c r="J334">
        <f>VLOOKUP(A334,[1]Datasheet_2!$A$2:$H$611,3,FALSE)</f>
        <v>0.1515</v>
      </c>
      <c r="K334" s="9">
        <f>VLOOKUP(A334,[1]Datasheet_2!$A$2:$H$611,4,FALSE)</f>
        <v>0.63</v>
      </c>
      <c r="L334" s="8">
        <f>VLOOKUP(A334,[1]Datasheet_2!$A$2:$H$611,5,FALSE)</f>
        <v>0.1343</v>
      </c>
      <c r="M334" s="8">
        <f>VLOOKUP(A334,[1]Datasheet_2!$A$2:$H$611,6,FALSE)</f>
        <v>1</v>
      </c>
      <c r="N334" s="8">
        <f>VLOOKUP(A334,[1]Datasheet_2!$A$2:$H$611,7,FALSE)</f>
        <v>22</v>
      </c>
      <c r="O334" s="9">
        <f>VLOOKUP(A334,[1]Datasheet_2!$A$2:$H$611,8,FALSE)</f>
        <v>23</v>
      </c>
    </row>
    <row r="335" spans="1:15" x14ac:dyDescent="0.3">
      <c r="A335" s="4">
        <v>334</v>
      </c>
      <c r="B335" s="5">
        <v>40558</v>
      </c>
      <c r="C335" s="4">
        <v>1</v>
      </c>
      <c r="D335" s="4">
        <v>9</v>
      </c>
      <c r="E335" s="4" t="b">
        <v>0</v>
      </c>
      <c r="F335" s="4">
        <v>6</v>
      </c>
      <c r="G335" s="4">
        <v>1</v>
      </c>
      <c r="H335" s="4">
        <v>0.16</v>
      </c>
      <c r="I335">
        <f>VLOOKUP(A335,[1]Datasheet_2!$A$2:$H$611,2,FALSE)</f>
        <v>333</v>
      </c>
      <c r="J335">
        <f>VLOOKUP(A335,[1]Datasheet_2!$A$2:$H$611,3,FALSE)</f>
        <v>0.18179999999999999</v>
      </c>
      <c r="K335" s="9">
        <f>VLOOKUP(A335,[1]Datasheet_2!$A$2:$H$611,4,FALSE)</f>
        <v>0.64</v>
      </c>
      <c r="L335" s="8">
        <f>VLOOKUP(A335,[1]Datasheet_2!$A$2:$H$611,5,FALSE)</f>
        <v>0.1343</v>
      </c>
      <c r="M335" s="8">
        <f>VLOOKUP(A335,[1]Datasheet_2!$A$2:$H$611,6,FALSE)</f>
        <v>2</v>
      </c>
      <c r="N335" s="8">
        <f>VLOOKUP(A335,[1]Datasheet_2!$A$2:$H$611,7,FALSE)</f>
        <v>31</v>
      </c>
      <c r="O335" s="9">
        <f>VLOOKUP(A335,[1]Datasheet_2!$A$2:$H$611,8,FALSE)</f>
        <v>33</v>
      </c>
    </row>
    <row r="336" spans="1:15" x14ac:dyDescent="0.3">
      <c r="A336" s="4">
        <v>335</v>
      </c>
      <c r="B336" s="5">
        <v>40558</v>
      </c>
      <c r="C336" s="4">
        <v>1</v>
      </c>
      <c r="D336" s="4">
        <v>10</v>
      </c>
      <c r="E336" s="4" t="b">
        <v>0</v>
      </c>
      <c r="F336" s="4">
        <v>6</v>
      </c>
      <c r="G336" s="4">
        <v>1</v>
      </c>
      <c r="H336" s="4">
        <v>0.18</v>
      </c>
      <c r="I336">
        <f>VLOOKUP(A336,[1]Datasheet_2!$A$2:$H$611,2,FALSE)</f>
        <v>334</v>
      </c>
      <c r="J336">
        <f>VLOOKUP(A336,[1]Datasheet_2!$A$2:$H$611,3,FALSE)</f>
        <v>0.19700000000000001</v>
      </c>
      <c r="K336" s="9">
        <f>VLOOKUP(A336,[1]Datasheet_2!$A$2:$H$611,4,FALSE)</f>
        <v>0.59</v>
      </c>
      <c r="L336" s="8">
        <f>VLOOKUP(A336,[1]Datasheet_2!$A$2:$H$611,5,FALSE)</f>
        <v>0.16420000000000001</v>
      </c>
      <c r="M336" s="8">
        <f>VLOOKUP(A336,[1]Datasheet_2!$A$2:$H$611,6,FALSE)</f>
        <v>2</v>
      </c>
      <c r="N336" s="8">
        <f>VLOOKUP(A336,[1]Datasheet_2!$A$2:$H$611,7,FALSE)</f>
        <v>57</v>
      </c>
      <c r="O336" s="9">
        <f>VLOOKUP(A336,[1]Datasheet_2!$A$2:$H$611,8,FALSE)</f>
        <v>59</v>
      </c>
    </row>
    <row r="337" spans="1:15" x14ac:dyDescent="0.3">
      <c r="A337" s="4">
        <v>336</v>
      </c>
      <c r="B337" s="5">
        <v>40558</v>
      </c>
      <c r="C337" s="4">
        <v>1</v>
      </c>
      <c r="D337" s="4">
        <v>11</v>
      </c>
      <c r="E337" s="4" t="b">
        <v>0</v>
      </c>
      <c r="F337" s="4">
        <v>6</v>
      </c>
      <c r="G337" s="4">
        <v>1</v>
      </c>
      <c r="H337" s="4">
        <v>0.2</v>
      </c>
      <c r="I337">
        <f>VLOOKUP(A337,[1]Datasheet_2!$A$2:$H$611,2,FALSE)</f>
        <v>335</v>
      </c>
      <c r="J337">
        <f>VLOOKUP(A337,[1]Datasheet_2!$A$2:$H$611,3,FALSE)</f>
        <v>0.19700000000000001</v>
      </c>
      <c r="K337" s="9">
        <f>VLOOKUP(A337,[1]Datasheet_2!$A$2:$H$611,4,FALSE)</f>
        <v>0.55000000000000004</v>
      </c>
      <c r="L337" s="8">
        <f>VLOOKUP(A337,[1]Datasheet_2!$A$2:$H$611,5,FALSE)</f>
        <v>0.22389999999999999</v>
      </c>
      <c r="M337" s="8">
        <f>VLOOKUP(A337,[1]Datasheet_2!$A$2:$H$611,6,FALSE)</f>
        <v>18</v>
      </c>
      <c r="N337" s="8">
        <f>VLOOKUP(A337,[1]Datasheet_2!$A$2:$H$611,7,FALSE)</f>
        <v>54</v>
      </c>
      <c r="O337" s="9">
        <f>VLOOKUP(A337,[1]Datasheet_2!$A$2:$H$611,8,FALSE)</f>
        <v>72</v>
      </c>
    </row>
    <row r="338" spans="1:15" x14ac:dyDescent="0.3">
      <c r="A338" s="4">
        <v>337</v>
      </c>
      <c r="B338" s="5">
        <v>40558</v>
      </c>
      <c r="C338" s="4">
        <v>1</v>
      </c>
      <c r="D338" s="4">
        <v>12</v>
      </c>
      <c r="E338" s="4" t="b">
        <v>0</v>
      </c>
      <c r="F338" s="4">
        <v>6</v>
      </c>
      <c r="G338" s="4">
        <v>1</v>
      </c>
      <c r="H338" s="4">
        <v>0.24</v>
      </c>
      <c r="I338">
        <f>VLOOKUP(A338,[1]Datasheet_2!$A$2:$H$611,2,FALSE)</f>
        <v>336</v>
      </c>
      <c r="J338">
        <f>VLOOKUP(A338,[1]Datasheet_2!$A$2:$H$611,3,FALSE)</f>
        <v>0.2273</v>
      </c>
      <c r="K338" s="9">
        <f>VLOOKUP(A338,[1]Datasheet_2!$A$2:$H$611,4,FALSE)</f>
        <v>0.48</v>
      </c>
      <c r="L338" s="8">
        <f>VLOOKUP(A338,[1]Datasheet_2!$A$2:$H$611,5,FALSE)</f>
        <v>0.22389999999999999</v>
      </c>
      <c r="M338" s="8">
        <f>VLOOKUP(A338,[1]Datasheet_2!$A$2:$H$611,6,FALSE)</f>
        <v>15</v>
      </c>
      <c r="N338" s="8">
        <f>VLOOKUP(A338,[1]Datasheet_2!$A$2:$H$611,7,FALSE)</f>
        <v>74</v>
      </c>
      <c r="O338" s="9">
        <f>VLOOKUP(A338,[1]Datasheet_2!$A$2:$H$611,8,FALSE)</f>
        <v>89</v>
      </c>
    </row>
    <row r="339" spans="1:15" x14ac:dyDescent="0.3">
      <c r="A339" s="4">
        <v>338</v>
      </c>
      <c r="B339" s="5">
        <v>40558</v>
      </c>
      <c r="C339" s="4">
        <v>1</v>
      </c>
      <c r="D339" s="4">
        <v>13</v>
      </c>
      <c r="E339" s="4" t="b">
        <v>0</v>
      </c>
      <c r="F339" s="4">
        <v>6</v>
      </c>
      <c r="G339" s="4">
        <v>1</v>
      </c>
      <c r="H339" s="4">
        <v>0.28000000000000003</v>
      </c>
      <c r="I339">
        <f>VLOOKUP(A339,[1]Datasheet_2!$A$2:$H$611,2,FALSE)</f>
        <v>337</v>
      </c>
      <c r="J339">
        <f>VLOOKUP(A339,[1]Datasheet_2!$A$2:$H$611,3,FALSE)</f>
        <v>0.2576</v>
      </c>
      <c r="K339" s="9">
        <f>VLOOKUP(A339,[1]Datasheet_2!$A$2:$H$611,4,FALSE)</f>
        <v>0.38</v>
      </c>
      <c r="L339" s="8">
        <f>VLOOKUP(A339,[1]Datasheet_2!$A$2:$H$611,5,FALSE)</f>
        <v>0.29849999999999999</v>
      </c>
      <c r="M339" s="8">
        <f>VLOOKUP(A339,[1]Datasheet_2!$A$2:$H$611,6,FALSE)</f>
        <v>21</v>
      </c>
      <c r="N339" s="8">
        <f>VLOOKUP(A339,[1]Datasheet_2!$A$2:$H$611,7,FALSE)</f>
        <v>80</v>
      </c>
      <c r="O339" s="9">
        <f>VLOOKUP(A339,[1]Datasheet_2!$A$2:$H$611,8,FALSE)</f>
        <v>101</v>
      </c>
    </row>
    <row r="340" spans="1:15" x14ac:dyDescent="0.3">
      <c r="A340" s="4">
        <v>339</v>
      </c>
      <c r="B340" s="5">
        <v>40558</v>
      </c>
      <c r="C340" s="4">
        <v>1</v>
      </c>
      <c r="D340" s="4">
        <v>14</v>
      </c>
      <c r="E340" s="4" t="b">
        <v>0</v>
      </c>
      <c r="F340" s="4">
        <v>6</v>
      </c>
      <c r="G340" s="4">
        <v>1</v>
      </c>
      <c r="H340" s="4">
        <v>0.3</v>
      </c>
      <c r="I340">
        <f>VLOOKUP(A340,[1]Datasheet_2!$A$2:$H$611,2,FALSE)</f>
        <v>338</v>
      </c>
      <c r="J340">
        <f>VLOOKUP(A340,[1]Datasheet_2!$A$2:$H$611,3,FALSE)</f>
        <v>0.28789999999999999</v>
      </c>
      <c r="K340" s="9">
        <f>VLOOKUP(A340,[1]Datasheet_2!$A$2:$H$611,4,FALSE)</f>
        <v>0.39</v>
      </c>
      <c r="L340" s="8">
        <f>VLOOKUP(A340,[1]Datasheet_2!$A$2:$H$611,5,FALSE)</f>
        <v>0.28360000000000002</v>
      </c>
      <c r="M340" s="8">
        <f>VLOOKUP(A340,[1]Datasheet_2!$A$2:$H$611,6,FALSE)</f>
        <v>26</v>
      </c>
      <c r="N340" s="8">
        <f>VLOOKUP(A340,[1]Datasheet_2!$A$2:$H$611,7,FALSE)</f>
        <v>92</v>
      </c>
      <c r="O340" s="9">
        <f>VLOOKUP(A340,[1]Datasheet_2!$A$2:$H$611,8,FALSE)</f>
        <v>118</v>
      </c>
    </row>
    <row r="341" spans="1:15" x14ac:dyDescent="0.3">
      <c r="A341" s="4">
        <v>340</v>
      </c>
      <c r="B341" s="5">
        <v>40558</v>
      </c>
      <c r="C341" s="4">
        <v>1</v>
      </c>
      <c r="D341" s="4">
        <v>15</v>
      </c>
      <c r="E341" s="4" t="b">
        <v>0</v>
      </c>
      <c r="F341" s="4">
        <v>6</v>
      </c>
      <c r="G341" s="4">
        <v>2</v>
      </c>
      <c r="H341" s="4">
        <v>0.32</v>
      </c>
      <c r="I341">
        <f>VLOOKUP(A341,[1]Datasheet_2!$A$2:$H$611,2,FALSE)</f>
        <v>339</v>
      </c>
      <c r="J341">
        <f>VLOOKUP(A341,[1]Datasheet_2!$A$2:$H$611,3,FALSE)</f>
        <v>0.31819999999999998</v>
      </c>
      <c r="K341" s="9">
        <f>VLOOKUP(A341,[1]Datasheet_2!$A$2:$H$611,4,FALSE)</f>
        <v>0.36</v>
      </c>
      <c r="L341" s="8">
        <f>VLOOKUP(A341,[1]Datasheet_2!$A$2:$H$611,5,FALSE)</f>
        <v>0.19400000000000001</v>
      </c>
      <c r="M341" s="8">
        <f>VLOOKUP(A341,[1]Datasheet_2!$A$2:$H$611,6,FALSE)</f>
        <v>21</v>
      </c>
      <c r="N341" s="8">
        <f>VLOOKUP(A341,[1]Datasheet_2!$A$2:$H$611,7,FALSE)</f>
        <v>108</v>
      </c>
      <c r="O341" s="9">
        <f>VLOOKUP(A341,[1]Datasheet_2!$A$2:$H$611,8,FALSE)</f>
        <v>129</v>
      </c>
    </row>
    <row r="342" spans="1:15" x14ac:dyDescent="0.3">
      <c r="A342" s="4">
        <v>341</v>
      </c>
      <c r="B342" s="5">
        <v>40558</v>
      </c>
      <c r="C342" s="4">
        <v>1</v>
      </c>
      <c r="D342" s="4">
        <v>16</v>
      </c>
      <c r="E342" s="4" t="b">
        <v>0</v>
      </c>
      <c r="F342" s="4">
        <v>6</v>
      </c>
      <c r="G342" s="4">
        <v>2</v>
      </c>
      <c r="H342" s="4">
        <v>0.34</v>
      </c>
      <c r="I342">
        <f>VLOOKUP(A342,[1]Datasheet_2!$A$2:$H$611,2,FALSE)</f>
        <v>340</v>
      </c>
      <c r="J342">
        <f>VLOOKUP(A342,[1]Datasheet_2!$A$2:$H$611,3,FALSE)</f>
        <v>0.33329999999999999</v>
      </c>
      <c r="K342" s="9">
        <f>VLOOKUP(A342,[1]Datasheet_2!$A$2:$H$611,4,FALSE)</f>
        <v>0.34</v>
      </c>
      <c r="L342" s="8">
        <f>VLOOKUP(A342,[1]Datasheet_2!$A$2:$H$611,5,FALSE)</f>
        <v>0.19400000000000001</v>
      </c>
      <c r="M342" s="8">
        <f>VLOOKUP(A342,[1]Datasheet_2!$A$2:$H$611,6,FALSE)</f>
        <v>33</v>
      </c>
      <c r="N342" s="8">
        <f>VLOOKUP(A342,[1]Datasheet_2!$A$2:$H$611,7,FALSE)</f>
        <v>95</v>
      </c>
      <c r="O342" s="9">
        <f>VLOOKUP(A342,[1]Datasheet_2!$A$2:$H$611,8,FALSE)</f>
        <v>128</v>
      </c>
    </row>
    <row r="343" spans="1:15" x14ac:dyDescent="0.3">
      <c r="A343" s="4">
        <v>342</v>
      </c>
      <c r="B343" s="5">
        <v>40558</v>
      </c>
      <c r="C343" s="4">
        <v>1</v>
      </c>
      <c r="D343" s="4">
        <v>17</v>
      </c>
      <c r="E343" s="4" t="b">
        <v>0</v>
      </c>
      <c r="F343" s="4">
        <v>6</v>
      </c>
      <c r="G343" s="4">
        <v>2</v>
      </c>
      <c r="H343" s="4">
        <v>0.32</v>
      </c>
      <c r="I343">
        <f>VLOOKUP(A343,[1]Datasheet_2!$A$2:$H$611,2,FALSE)</f>
        <v>341</v>
      </c>
      <c r="J343">
        <f>VLOOKUP(A343,[1]Datasheet_2!$A$2:$H$611,3,FALSE)</f>
        <v>0.30299999999999999</v>
      </c>
      <c r="K343" s="9">
        <f>VLOOKUP(A343,[1]Datasheet_2!$A$2:$H$611,4,FALSE)</f>
        <v>0.36</v>
      </c>
      <c r="L343" s="8">
        <f>VLOOKUP(A343,[1]Datasheet_2!$A$2:$H$611,5,FALSE)</f>
        <v>0.28360000000000002</v>
      </c>
      <c r="M343" s="8">
        <f>VLOOKUP(A343,[1]Datasheet_2!$A$2:$H$611,6,FALSE)</f>
        <v>29</v>
      </c>
      <c r="N343" s="8">
        <f>VLOOKUP(A343,[1]Datasheet_2!$A$2:$H$611,7,FALSE)</f>
        <v>54</v>
      </c>
      <c r="O343" s="9">
        <f>VLOOKUP(A343,[1]Datasheet_2!$A$2:$H$611,8,FALSE)</f>
        <v>83</v>
      </c>
    </row>
    <row r="344" spans="1:15" x14ac:dyDescent="0.3">
      <c r="A344" s="4">
        <v>343</v>
      </c>
      <c r="B344" s="5">
        <v>40558</v>
      </c>
      <c r="C344" s="4">
        <v>1</v>
      </c>
      <c r="D344" s="4">
        <v>18</v>
      </c>
      <c r="E344" s="4" t="b">
        <v>0</v>
      </c>
      <c r="F344" s="4">
        <v>6</v>
      </c>
      <c r="G344" s="4">
        <v>2</v>
      </c>
      <c r="H344" s="4">
        <v>0.3</v>
      </c>
      <c r="I344">
        <f>VLOOKUP(A344,[1]Datasheet_2!$A$2:$H$611,2,FALSE)</f>
        <v>342</v>
      </c>
      <c r="J344">
        <f>VLOOKUP(A344,[1]Datasheet_2!$A$2:$H$611,3,FALSE)</f>
        <v>0.28789999999999999</v>
      </c>
      <c r="K344" s="9">
        <f>VLOOKUP(A344,[1]Datasheet_2!$A$2:$H$611,4,FALSE)</f>
        <v>0.45</v>
      </c>
      <c r="L344" s="8">
        <f>VLOOKUP(A344,[1]Datasheet_2!$A$2:$H$611,5,FALSE)</f>
        <v>0.25369999999999998</v>
      </c>
      <c r="M344" s="8">
        <f>VLOOKUP(A344,[1]Datasheet_2!$A$2:$H$611,6,FALSE)</f>
        <v>15</v>
      </c>
      <c r="N344" s="8">
        <f>VLOOKUP(A344,[1]Datasheet_2!$A$2:$H$611,7,FALSE)</f>
        <v>69</v>
      </c>
      <c r="O344" s="9">
        <f>VLOOKUP(A344,[1]Datasheet_2!$A$2:$H$611,8,FALSE)</f>
        <v>84</v>
      </c>
    </row>
    <row r="345" spans="1:15" x14ac:dyDescent="0.3">
      <c r="A345" s="4">
        <v>344</v>
      </c>
      <c r="B345" s="5">
        <v>40558</v>
      </c>
      <c r="C345" s="4">
        <v>1</v>
      </c>
      <c r="D345" s="4">
        <v>19</v>
      </c>
      <c r="E345" s="4" t="b">
        <v>0</v>
      </c>
      <c r="F345" s="4">
        <v>6</v>
      </c>
      <c r="G345" s="4">
        <v>2</v>
      </c>
      <c r="H345" s="4">
        <v>0.32</v>
      </c>
      <c r="I345">
        <f>VLOOKUP(A345,[1]Datasheet_2!$A$2:$H$611,2,FALSE)</f>
        <v>343</v>
      </c>
      <c r="J345">
        <f>VLOOKUP(A345,[1]Datasheet_2!$A$2:$H$611,3,FALSE)</f>
        <v>0.30299999999999999</v>
      </c>
      <c r="K345" s="9">
        <f>VLOOKUP(A345,[1]Datasheet_2!$A$2:$H$611,4,FALSE)</f>
        <v>0.39</v>
      </c>
      <c r="L345" s="8">
        <f>VLOOKUP(A345,[1]Datasheet_2!$A$2:$H$611,5,FALSE)</f>
        <v>0.25369999999999998</v>
      </c>
      <c r="M345" s="8">
        <f>VLOOKUP(A345,[1]Datasheet_2!$A$2:$H$611,6,FALSE)</f>
        <v>14</v>
      </c>
      <c r="N345" s="8">
        <f>VLOOKUP(A345,[1]Datasheet_2!$A$2:$H$611,7,FALSE)</f>
        <v>60</v>
      </c>
      <c r="O345" s="9">
        <f>VLOOKUP(A345,[1]Datasheet_2!$A$2:$H$611,8,FALSE)</f>
        <v>74</v>
      </c>
    </row>
    <row r="346" spans="1:15" x14ac:dyDescent="0.3">
      <c r="A346" s="4">
        <v>345</v>
      </c>
      <c r="B346" s="5">
        <v>40558</v>
      </c>
      <c r="C346" s="4">
        <v>1</v>
      </c>
      <c r="D346" s="4">
        <v>20</v>
      </c>
      <c r="E346" s="4" t="b">
        <v>0</v>
      </c>
      <c r="F346" s="4">
        <v>6</v>
      </c>
      <c r="G346" s="4">
        <v>2</v>
      </c>
      <c r="H346" s="4">
        <v>0.32</v>
      </c>
      <c r="I346">
        <f>VLOOKUP(A346,[1]Datasheet_2!$A$2:$H$611,2,FALSE)</f>
        <v>344</v>
      </c>
      <c r="J346">
        <f>VLOOKUP(A346,[1]Datasheet_2!$A$2:$H$611,3,FALSE)</f>
        <v>0.30299999999999999</v>
      </c>
      <c r="K346" s="9">
        <f>VLOOKUP(A346,[1]Datasheet_2!$A$2:$H$611,4,FALSE)</f>
        <v>0.39</v>
      </c>
      <c r="L346" s="8">
        <f>VLOOKUP(A346,[1]Datasheet_2!$A$2:$H$611,5,FALSE)</f>
        <v>0.25369999999999998</v>
      </c>
      <c r="M346" s="8">
        <f>VLOOKUP(A346,[1]Datasheet_2!$A$2:$H$611,6,FALSE)</f>
        <v>6</v>
      </c>
      <c r="N346" s="8">
        <f>VLOOKUP(A346,[1]Datasheet_2!$A$2:$H$611,7,FALSE)</f>
        <v>35</v>
      </c>
      <c r="O346" s="9">
        <f>VLOOKUP(A346,[1]Datasheet_2!$A$2:$H$611,8,FALSE)</f>
        <v>41</v>
      </c>
    </row>
    <row r="347" spans="1:15" x14ac:dyDescent="0.3">
      <c r="A347" s="4">
        <v>346</v>
      </c>
      <c r="B347" s="5">
        <v>40558</v>
      </c>
      <c r="C347" s="4">
        <v>1</v>
      </c>
      <c r="D347" s="4">
        <v>21</v>
      </c>
      <c r="E347" s="4" t="b">
        <v>0</v>
      </c>
      <c r="F347" s="4">
        <v>6</v>
      </c>
      <c r="G347" s="4">
        <v>2</v>
      </c>
      <c r="H347" s="4">
        <v>0.32</v>
      </c>
      <c r="I347">
        <f>VLOOKUP(A347,[1]Datasheet_2!$A$2:$H$611,2,FALSE)</f>
        <v>345</v>
      </c>
      <c r="J347">
        <f>VLOOKUP(A347,[1]Datasheet_2!$A$2:$H$611,3,FALSE)</f>
        <v>0.30299999999999999</v>
      </c>
      <c r="K347" s="9">
        <f>VLOOKUP(A347,[1]Datasheet_2!$A$2:$H$611,4,FALSE)</f>
        <v>0.39</v>
      </c>
      <c r="L347" s="8">
        <f>VLOOKUP(A347,[1]Datasheet_2!$A$2:$H$611,5,FALSE)</f>
        <v>0.22389999999999999</v>
      </c>
      <c r="M347" s="8">
        <f>VLOOKUP(A347,[1]Datasheet_2!$A$2:$H$611,6,FALSE)</f>
        <v>6</v>
      </c>
      <c r="N347" s="8">
        <f>VLOOKUP(A347,[1]Datasheet_2!$A$2:$H$611,7,FALSE)</f>
        <v>51</v>
      </c>
      <c r="O347" s="9">
        <f>VLOOKUP(A347,[1]Datasheet_2!$A$2:$H$611,8,FALSE)</f>
        <v>57</v>
      </c>
    </row>
    <row r="348" spans="1:15" x14ac:dyDescent="0.3">
      <c r="A348" s="4">
        <v>347</v>
      </c>
      <c r="B348" s="5">
        <v>40558</v>
      </c>
      <c r="C348" s="4">
        <v>1</v>
      </c>
      <c r="D348" s="4">
        <v>22</v>
      </c>
      <c r="E348" s="4" t="b">
        <v>0</v>
      </c>
      <c r="F348" s="4">
        <v>6</v>
      </c>
      <c r="G348" s="4">
        <v>2</v>
      </c>
      <c r="H348" s="4">
        <v>0.3</v>
      </c>
      <c r="I348">
        <f>VLOOKUP(A348,[1]Datasheet_2!$A$2:$H$611,2,FALSE)</f>
        <v>346</v>
      </c>
      <c r="J348">
        <f>VLOOKUP(A348,[1]Datasheet_2!$A$2:$H$611,3,FALSE)</f>
        <v>0.31819999999999998</v>
      </c>
      <c r="K348" s="9">
        <f>VLOOKUP(A348,[1]Datasheet_2!$A$2:$H$611,4,FALSE)</f>
        <v>0.42</v>
      </c>
      <c r="L348" s="8">
        <f>VLOOKUP(A348,[1]Datasheet_2!$A$2:$H$611,5,FALSE)</f>
        <v>0.1045</v>
      </c>
      <c r="M348" s="8">
        <f>VLOOKUP(A348,[1]Datasheet_2!$A$2:$H$611,6,FALSE)</f>
        <v>0</v>
      </c>
      <c r="N348" s="8">
        <f>VLOOKUP(A348,[1]Datasheet_2!$A$2:$H$611,7,FALSE)</f>
        <v>26</v>
      </c>
      <c r="O348" s="9">
        <f>VLOOKUP(A348,[1]Datasheet_2!$A$2:$H$611,8,FALSE)</f>
        <v>26</v>
      </c>
    </row>
    <row r="349" spans="1:15" x14ac:dyDescent="0.3">
      <c r="A349" s="4">
        <v>348</v>
      </c>
      <c r="B349" s="5">
        <v>40558</v>
      </c>
      <c r="C349" s="4">
        <v>1</v>
      </c>
      <c r="D349" s="4">
        <v>23</v>
      </c>
      <c r="E349" s="4" t="b">
        <v>0</v>
      </c>
      <c r="F349" s="4">
        <v>6</v>
      </c>
      <c r="G349" s="4">
        <v>1</v>
      </c>
      <c r="H349" s="4">
        <v>0.3</v>
      </c>
      <c r="I349">
        <f>VLOOKUP(A349,[1]Datasheet_2!$A$2:$H$611,2,FALSE)</f>
        <v>347</v>
      </c>
      <c r="J349">
        <f>VLOOKUP(A349,[1]Datasheet_2!$A$2:$H$611,3,FALSE)</f>
        <v>0.28789999999999999</v>
      </c>
      <c r="K349" s="9">
        <f>VLOOKUP(A349,[1]Datasheet_2!$A$2:$H$611,4,FALSE)</f>
        <v>0.45</v>
      </c>
      <c r="L349" s="8">
        <f>VLOOKUP(A349,[1]Datasheet_2!$A$2:$H$611,5,FALSE)</f>
        <v>0.28360000000000002</v>
      </c>
      <c r="M349" s="8">
        <f>VLOOKUP(A349,[1]Datasheet_2!$A$2:$H$611,6,FALSE)</f>
        <v>5</v>
      </c>
      <c r="N349" s="8">
        <f>VLOOKUP(A349,[1]Datasheet_2!$A$2:$H$611,7,FALSE)</f>
        <v>39</v>
      </c>
      <c r="O349" s="9">
        <f>VLOOKUP(A349,[1]Datasheet_2!$A$2:$H$611,8,FALSE)</f>
        <v>44</v>
      </c>
    </row>
    <row r="350" spans="1:15" x14ac:dyDescent="0.3">
      <c r="A350" s="4">
        <v>349</v>
      </c>
      <c r="B350" s="5">
        <v>40559</v>
      </c>
      <c r="C350" s="4">
        <v>1</v>
      </c>
      <c r="D350" s="4">
        <v>0</v>
      </c>
      <c r="E350" s="4" t="b">
        <v>0</v>
      </c>
      <c r="F350" s="4">
        <v>0</v>
      </c>
      <c r="G350" s="4">
        <v>1</v>
      </c>
      <c r="H350" s="4">
        <v>0.26</v>
      </c>
      <c r="I350">
        <f>VLOOKUP(A350,[1]Datasheet_2!$A$2:$H$611,2,FALSE)</f>
        <v>348</v>
      </c>
      <c r="J350">
        <f>VLOOKUP(A350,[1]Datasheet_2!$A$2:$H$611,3,FALSE)</f>
        <v>0.30299999999999999</v>
      </c>
      <c r="K350" s="9">
        <f>VLOOKUP(A350,[1]Datasheet_2!$A$2:$H$611,4,FALSE)</f>
        <v>0.56000000000000005</v>
      </c>
      <c r="L350" s="8">
        <f>VLOOKUP(A350,[1]Datasheet_2!$A$2:$H$611,5,FALSE)</f>
        <v>0</v>
      </c>
      <c r="M350" s="8">
        <f>VLOOKUP(A350,[1]Datasheet_2!$A$2:$H$611,6,FALSE)</f>
        <v>6</v>
      </c>
      <c r="N350" s="8">
        <f>VLOOKUP(A350,[1]Datasheet_2!$A$2:$H$611,7,FALSE)</f>
        <v>33</v>
      </c>
      <c r="O350" s="9">
        <f>VLOOKUP(A350,[1]Datasheet_2!$A$2:$H$611,8,FALSE)</f>
        <v>39</v>
      </c>
    </row>
    <row r="351" spans="1:15" x14ac:dyDescent="0.3">
      <c r="A351" s="4">
        <v>350</v>
      </c>
      <c r="B351" s="5">
        <v>40559</v>
      </c>
      <c r="C351" s="4">
        <v>1</v>
      </c>
      <c r="D351" s="4">
        <v>1</v>
      </c>
      <c r="E351" s="4" t="b">
        <v>0</v>
      </c>
      <c r="F351" s="4">
        <v>0</v>
      </c>
      <c r="G351" s="4">
        <v>1</v>
      </c>
      <c r="H351" s="4">
        <v>0.26</v>
      </c>
      <c r="I351">
        <f>VLOOKUP(A351,[1]Datasheet_2!$A$2:$H$611,2,FALSE)</f>
        <v>349</v>
      </c>
      <c r="J351">
        <f>VLOOKUP(A351,[1]Datasheet_2!$A$2:$H$611,3,FALSE)</f>
        <v>0.2727</v>
      </c>
      <c r="K351" s="9">
        <f>VLOOKUP(A351,[1]Datasheet_2!$A$2:$H$611,4,FALSE)</f>
        <v>0.56000000000000005</v>
      </c>
      <c r="L351" s="8">
        <f>VLOOKUP(A351,[1]Datasheet_2!$A$2:$H$611,5,FALSE)</f>
        <v>0.1343</v>
      </c>
      <c r="M351" s="8">
        <f>VLOOKUP(A351,[1]Datasheet_2!$A$2:$H$611,6,FALSE)</f>
        <v>4</v>
      </c>
      <c r="N351" s="8">
        <f>VLOOKUP(A351,[1]Datasheet_2!$A$2:$H$611,7,FALSE)</f>
        <v>19</v>
      </c>
      <c r="O351" s="9">
        <f>VLOOKUP(A351,[1]Datasheet_2!$A$2:$H$611,8,FALSE)</f>
        <v>23</v>
      </c>
    </row>
    <row r="352" spans="1:15" x14ac:dyDescent="0.3">
      <c r="A352" s="4">
        <v>351</v>
      </c>
      <c r="B352" s="5">
        <v>40559</v>
      </c>
      <c r="C352" s="4">
        <v>1</v>
      </c>
      <c r="D352" s="4">
        <v>2</v>
      </c>
      <c r="E352" s="4" t="b">
        <v>0</v>
      </c>
      <c r="F352" s="4">
        <v>0</v>
      </c>
      <c r="G352" s="4">
        <v>1</v>
      </c>
      <c r="H352" s="4">
        <v>0.26</v>
      </c>
      <c r="I352">
        <f>VLOOKUP(A352,[1]Datasheet_2!$A$2:$H$611,2,FALSE)</f>
        <v>350</v>
      </c>
      <c r="J352">
        <f>VLOOKUP(A352,[1]Datasheet_2!$A$2:$H$611,3,FALSE)</f>
        <v>0.28789999999999999</v>
      </c>
      <c r="K352" s="9">
        <f>VLOOKUP(A352,[1]Datasheet_2!$A$2:$H$611,4,FALSE)</f>
        <v>0.56000000000000005</v>
      </c>
      <c r="L352" s="8">
        <f>VLOOKUP(A352,[1]Datasheet_2!$A$2:$H$611,5,FALSE)</f>
        <v>8.9599999999999999E-2</v>
      </c>
      <c r="M352" s="8">
        <f>VLOOKUP(A352,[1]Datasheet_2!$A$2:$H$611,6,FALSE)</f>
        <v>3</v>
      </c>
      <c r="N352" s="8">
        <f>VLOOKUP(A352,[1]Datasheet_2!$A$2:$H$611,7,FALSE)</f>
        <v>13</v>
      </c>
      <c r="O352" s="9">
        <f>VLOOKUP(A352,[1]Datasheet_2!$A$2:$H$611,8,FALSE)</f>
        <v>16</v>
      </c>
    </row>
    <row r="353" spans="1:15" x14ac:dyDescent="0.3">
      <c r="A353" s="4">
        <v>352</v>
      </c>
      <c r="B353" s="5">
        <v>40559</v>
      </c>
      <c r="C353" s="4">
        <v>1</v>
      </c>
      <c r="D353" s="4">
        <v>3</v>
      </c>
      <c r="E353" s="4" t="b">
        <v>0</v>
      </c>
      <c r="F353" s="4">
        <v>0</v>
      </c>
      <c r="G353" s="4">
        <v>1</v>
      </c>
      <c r="H353" s="4">
        <v>0.22</v>
      </c>
      <c r="I353">
        <f>VLOOKUP(A353,[1]Datasheet_2!$A$2:$H$611,2,FALSE)</f>
        <v>351</v>
      </c>
      <c r="J353">
        <f>VLOOKUP(A353,[1]Datasheet_2!$A$2:$H$611,3,FALSE)</f>
        <v>0.2727</v>
      </c>
      <c r="K353" s="9">
        <f>VLOOKUP(A353,[1]Datasheet_2!$A$2:$H$611,4,FALSE)</f>
        <v>0.69</v>
      </c>
      <c r="L353" s="8">
        <f>VLOOKUP(A353,[1]Datasheet_2!$A$2:$H$611,5,FALSE)</f>
        <v>0</v>
      </c>
      <c r="M353" s="8">
        <f>VLOOKUP(A353,[1]Datasheet_2!$A$2:$H$611,6,FALSE)</f>
        <v>9</v>
      </c>
      <c r="N353" s="8">
        <f>VLOOKUP(A353,[1]Datasheet_2!$A$2:$H$611,7,FALSE)</f>
        <v>6</v>
      </c>
      <c r="O353" s="9">
        <f>VLOOKUP(A353,[1]Datasheet_2!$A$2:$H$611,8,FALSE)</f>
        <v>15</v>
      </c>
    </row>
    <row r="354" spans="1:15" x14ac:dyDescent="0.3">
      <c r="A354" s="4">
        <v>353</v>
      </c>
      <c r="B354" s="5">
        <v>40559</v>
      </c>
      <c r="C354" s="4">
        <v>1</v>
      </c>
      <c r="D354" s="4">
        <v>4</v>
      </c>
      <c r="E354" s="4" t="b">
        <v>0</v>
      </c>
      <c r="F354" s="4">
        <v>0</v>
      </c>
      <c r="G354" s="4">
        <v>1</v>
      </c>
      <c r="H354" s="4">
        <v>0.26</v>
      </c>
      <c r="I354">
        <f>VLOOKUP(A354,[1]Datasheet_2!$A$2:$H$611,2,FALSE)</f>
        <v>352</v>
      </c>
      <c r="J354">
        <f>VLOOKUP(A354,[1]Datasheet_2!$A$2:$H$611,3,FALSE)</f>
        <v>0.2576</v>
      </c>
      <c r="K354" s="9">
        <f>VLOOKUP(A354,[1]Datasheet_2!$A$2:$H$611,4,FALSE)</f>
        <v>0.56000000000000005</v>
      </c>
      <c r="L354" s="8">
        <f>VLOOKUP(A354,[1]Datasheet_2!$A$2:$H$611,5,FALSE)</f>
        <v>0.16420000000000001</v>
      </c>
      <c r="M354" s="8">
        <f>VLOOKUP(A354,[1]Datasheet_2!$A$2:$H$611,6,FALSE)</f>
        <v>0</v>
      </c>
      <c r="N354" s="8">
        <f>VLOOKUP(A354,[1]Datasheet_2!$A$2:$H$611,7,FALSE)</f>
        <v>1</v>
      </c>
      <c r="O354" s="9">
        <f>VLOOKUP(A354,[1]Datasheet_2!$A$2:$H$611,8,FALSE)</f>
        <v>1</v>
      </c>
    </row>
    <row r="355" spans="1:15" x14ac:dyDescent="0.3">
      <c r="A355" s="4">
        <v>354</v>
      </c>
      <c r="B355" s="5">
        <v>40559</v>
      </c>
      <c r="C355" s="4">
        <v>1</v>
      </c>
      <c r="D355" s="4">
        <v>5</v>
      </c>
      <c r="E355" s="4" t="b">
        <v>0</v>
      </c>
      <c r="F355" s="4">
        <v>0</v>
      </c>
      <c r="G355" s="4">
        <v>2</v>
      </c>
      <c r="H355" s="4">
        <v>0.26</v>
      </c>
      <c r="I355">
        <f>VLOOKUP(A355,[1]Datasheet_2!$A$2:$H$611,2,FALSE)</f>
        <v>353</v>
      </c>
      <c r="J355">
        <f>VLOOKUP(A355,[1]Datasheet_2!$A$2:$H$611,3,FALSE)</f>
        <v>0.2576</v>
      </c>
      <c r="K355" s="9">
        <f>VLOOKUP(A355,[1]Datasheet_2!$A$2:$H$611,4,FALSE)</f>
        <v>0.56000000000000005</v>
      </c>
      <c r="L355" s="8">
        <f>VLOOKUP(A355,[1]Datasheet_2!$A$2:$H$611,5,FALSE)</f>
        <v>0.16420000000000001</v>
      </c>
      <c r="M355" s="8">
        <f>VLOOKUP(A355,[1]Datasheet_2!$A$2:$H$611,6,FALSE)</f>
        <v>1</v>
      </c>
      <c r="N355" s="8">
        <f>VLOOKUP(A355,[1]Datasheet_2!$A$2:$H$611,7,FALSE)</f>
        <v>1</v>
      </c>
      <c r="O355" s="9">
        <f>VLOOKUP(A355,[1]Datasheet_2!$A$2:$H$611,8,FALSE)</f>
        <v>2</v>
      </c>
    </row>
    <row r="356" spans="1:15" x14ac:dyDescent="0.3">
      <c r="A356" s="4">
        <v>355</v>
      </c>
      <c r="B356" s="5">
        <v>40559</v>
      </c>
      <c r="C356" s="4">
        <v>1</v>
      </c>
      <c r="D356" s="4">
        <v>6</v>
      </c>
      <c r="E356" s="4" t="b">
        <v>0</v>
      </c>
      <c r="F356" s="4">
        <v>0</v>
      </c>
      <c r="G356" s="4">
        <v>2</v>
      </c>
      <c r="H356" s="4">
        <v>0.26</v>
      </c>
      <c r="I356">
        <f>VLOOKUP(A356,[1]Datasheet_2!$A$2:$H$611,2,FALSE)</f>
        <v>354</v>
      </c>
      <c r="J356">
        <f>VLOOKUP(A356,[1]Datasheet_2!$A$2:$H$611,3,FALSE)</f>
        <v>0.2576</v>
      </c>
      <c r="K356" s="9">
        <f>VLOOKUP(A356,[1]Datasheet_2!$A$2:$H$611,4,FALSE)</f>
        <v>0.56000000000000005</v>
      </c>
      <c r="L356" s="8">
        <f>VLOOKUP(A356,[1]Datasheet_2!$A$2:$H$611,5,FALSE)</f>
        <v>0.16420000000000001</v>
      </c>
      <c r="M356" s="8">
        <f>VLOOKUP(A356,[1]Datasheet_2!$A$2:$H$611,6,FALSE)</f>
        <v>0</v>
      </c>
      <c r="N356" s="8">
        <f>VLOOKUP(A356,[1]Datasheet_2!$A$2:$H$611,7,FALSE)</f>
        <v>1</v>
      </c>
      <c r="O356" s="9">
        <f>VLOOKUP(A356,[1]Datasheet_2!$A$2:$H$611,8,FALSE)</f>
        <v>1</v>
      </c>
    </row>
    <row r="357" spans="1:15" x14ac:dyDescent="0.3">
      <c r="A357" s="4">
        <v>356</v>
      </c>
      <c r="B357" s="5">
        <v>40559</v>
      </c>
      <c r="C357" s="4">
        <v>1</v>
      </c>
      <c r="D357" s="4">
        <v>7</v>
      </c>
      <c r="E357" s="4" t="b">
        <v>0</v>
      </c>
      <c r="F357" s="4">
        <v>0</v>
      </c>
      <c r="G357" s="4">
        <v>2</v>
      </c>
      <c r="H357" s="4">
        <v>0.24</v>
      </c>
      <c r="I357">
        <f>VLOOKUP(A357,[1]Datasheet_2!$A$2:$H$611,2,FALSE)</f>
        <v>355</v>
      </c>
      <c r="J357">
        <f>VLOOKUP(A357,[1]Datasheet_2!$A$2:$H$611,3,FALSE)</f>
        <v>0.21210000000000001</v>
      </c>
      <c r="K357" s="9">
        <f>VLOOKUP(A357,[1]Datasheet_2!$A$2:$H$611,4,FALSE)</f>
        <v>0.56000000000000005</v>
      </c>
      <c r="L357" s="8">
        <f>VLOOKUP(A357,[1]Datasheet_2!$A$2:$H$611,5,FALSE)</f>
        <v>0.29849999999999999</v>
      </c>
      <c r="M357" s="8">
        <f>VLOOKUP(A357,[1]Datasheet_2!$A$2:$H$611,6,FALSE)</f>
        <v>0</v>
      </c>
      <c r="N357" s="8">
        <f>VLOOKUP(A357,[1]Datasheet_2!$A$2:$H$611,7,FALSE)</f>
        <v>3</v>
      </c>
      <c r="O357" s="9">
        <f>VLOOKUP(A357,[1]Datasheet_2!$A$2:$H$611,8,FALSE)</f>
        <v>3</v>
      </c>
    </row>
    <row r="358" spans="1:15" x14ac:dyDescent="0.3">
      <c r="A358" s="4">
        <v>357</v>
      </c>
      <c r="B358" s="5">
        <v>40559</v>
      </c>
      <c r="C358" s="4">
        <v>1</v>
      </c>
      <c r="D358" s="4">
        <v>8</v>
      </c>
      <c r="E358" s="4" t="b">
        <v>0</v>
      </c>
      <c r="F358" s="4">
        <v>0</v>
      </c>
      <c r="G358" s="4">
        <v>1</v>
      </c>
      <c r="H358" s="4">
        <v>0.22</v>
      </c>
      <c r="I358">
        <f>VLOOKUP(A358,[1]Datasheet_2!$A$2:$H$611,2,FALSE)</f>
        <v>356</v>
      </c>
      <c r="J358">
        <f>VLOOKUP(A358,[1]Datasheet_2!$A$2:$H$611,3,FALSE)</f>
        <v>0.21210000000000001</v>
      </c>
      <c r="K358" s="9">
        <f>VLOOKUP(A358,[1]Datasheet_2!$A$2:$H$611,4,FALSE)</f>
        <v>0.55000000000000004</v>
      </c>
      <c r="L358" s="8">
        <f>VLOOKUP(A358,[1]Datasheet_2!$A$2:$H$611,5,FALSE)</f>
        <v>0.28360000000000002</v>
      </c>
      <c r="M358" s="8">
        <f>VLOOKUP(A358,[1]Datasheet_2!$A$2:$H$611,6,FALSE)</f>
        <v>0</v>
      </c>
      <c r="N358" s="8">
        <f>VLOOKUP(A358,[1]Datasheet_2!$A$2:$H$611,7,FALSE)</f>
        <v>18</v>
      </c>
      <c r="O358" s="9">
        <f>VLOOKUP(A358,[1]Datasheet_2!$A$2:$H$611,8,FALSE)</f>
        <v>18</v>
      </c>
    </row>
    <row r="359" spans="1:15" x14ac:dyDescent="0.3">
      <c r="A359" s="4">
        <v>358</v>
      </c>
      <c r="B359" s="5">
        <v>40559</v>
      </c>
      <c r="C359" s="4">
        <v>1</v>
      </c>
      <c r="D359" s="4">
        <v>9</v>
      </c>
      <c r="E359" s="4" t="b">
        <v>0</v>
      </c>
      <c r="F359" s="4">
        <v>0</v>
      </c>
      <c r="G359" s="4">
        <v>1</v>
      </c>
      <c r="H359" s="4">
        <v>0.22</v>
      </c>
      <c r="I359">
        <f>VLOOKUP(A359,[1]Datasheet_2!$A$2:$H$611,2,FALSE)</f>
        <v>357</v>
      </c>
      <c r="J359">
        <f>VLOOKUP(A359,[1]Datasheet_2!$A$2:$H$611,3,FALSE)</f>
        <v>0.21210000000000001</v>
      </c>
      <c r="K359" s="9">
        <f>VLOOKUP(A359,[1]Datasheet_2!$A$2:$H$611,4,FALSE)</f>
        <v>0.51</v>
      </c>
      <c r="L359" s="8">
        <f>VLOOKUP(A359,[1]Datasheet_2!$A$2:$H$611,5,FALSE)</f>
        <v>0.25369999999999998</v>
      </c>
      <c r="M359" s="8">
        <f>VLOOKUP(A359,[1]Datasheet_2!$A$2:$H$611,6,FALSE)</f>
        <v>3</v>
      </c>
      <c r="N359" s="8">
        <f>VLOOKUP(A359,[1]Datasheet_2!$A$2:$H$611,7,FALSE)</f>
        <v>29</v>
      </c>
      <c r="O359" s="9">
        <f>VLOOKUP(A359,[1]Datasheet_2!$A$2:$H$611,8,FALSE)</f>
        <v>32</v>
      </c>
    </row>
    <row r="360" spans="1:15" x14ac:dyDescent="0.3">
      <c r="A360" s="4">
        <v>359</v>
      </c>
      <c r="B360" s="5">
        <v>40559</v>
      </c>
      <c r="C360" s="4">
        <v>1</v>
      </c>
      <c r="D360" s="4">
        <v>10</v>
      </c>
      <c r="E360" s="4" t="b">
        <v>0</v>
      </c>
      <c r="F360" s="4">
        <v>0</v>
      </c>
      <c r="G360" s="4">
        <v>1</v>
      </c>
      <c r="H360" s="4">
        <v>0.22</v>
      </c>
      <c r="I360">
        <f>VLOOKUP(A360,[1]Datasheet_2!$A$2:$H$611,2,FALSE)</f>
        <v>358</v>
      </c>
      <c r="J360">
        <f>VLOOKUP(A360,[1]Datasheet_2!$A$2:$H$611,3,FALSE)</f>
        <v>0.21210000000000001</v>
      </c>
      <c r="K360" s="9">
        <f>VLOOKUP(A360,[1]Datasheet_2!$A$2:$H$611,4,FALSE)</f>
        <v>0.51</v>
      </c>
      <c r="L360" s="8">
        <f>VLOOKUP(A360,[1]Datasheet_2!$A$2:$H$611,5,FALSE)</f>
        <v>0.28360000000000002</v>
      </c>
      <c r="M360" s="8">
        <f>VLOOKUP(A360,[1]Datasheet_2!$A$2:$H$611,6,FALSE)</f>
        <v>8</v>
      </c>
      <c r="N360" s="8">
        <f>VLOOKUP(A360,[1]Datasheet_2!$A$2:$H$611,7,FALSE)</f>
        <v>71</v>
      </c>
      <c r="O360" s="9">
        <f>VLOOKUP(A360,[1]Datasheet_2!$A$2:$H$611,8,FALSE)</f>
        <v>79</v>
      </c>
    </row>
    <row r="361" spans="1:15" x14ac:dyDescent="0.3">
      <c r="A361" s="4">
        <v>360</v>
      </c>
      <c r="B361" s="5">
        <v>40559</v>
      </c>
      <c r="C361" s="4">
        <v>1</v>
      </c>
      <c r="D361" s="4">
        <v>11</v>
      </c>
      <c r="E361" s="4" t="b">
        <v>0</v>
      </c>
      <c r="F361" s="4">
        <v>0</v>
      </c>
      <c r="G361" s="4">
        <v>1</v>
      </c>
      <c r="H361" s="4">
        <v>0.24</v>
      </c>
      <c r="I361">
        <f>VLOOKUP(A361,[1]Datasheet_2!$A$2:$H$611,2,FALSE)</f>
        <v>359</v>
      </c>
      <c r="J361">
        <f>VLOOKUP(A361,[1]Datasheet_2!$A$2:$H$611,3,FALSE)</f>
        <v>0.2273</v>
      </c>
      <c r="K361" s="9">
        <f>VLOOKUP(A361,[1]Datasheet_2!$A$2:$H$611,4,FALSE)</f>
        <v>0.44</v>
      </c>
      <c r="L361" s="8">
        <f>VLOOKUP(A361,[1]Datasheet_2!$A$2:$H$611,5,FALSE)</f>
        <v>0.25369999999999998</v>
      </c>
      <c r="M361" s="8">
        <f>VLOOKUP(A361,[1]Datasheet_2!$A$2:$H$611,6,FALSE)</f>
        <v>23</v>
      </c>
      <c r="N361" s="8">
        <f>VLOOKUP(A361,[1]Datasheet_2!$A$2:$H$611,7,FALSE)</f>
        <v>70</v>
      </c>
      <c r="O361" s="9">
        <f>VLOOKUP(A361,[1]Datasheet_2!$A$2:$H$611,8,FALSE)</f>
        <v>93</v>
      </c>
    </row>
    <row r="362" spans="1:15" x14ac:dyDescent="0.3">
      <c r="A362" s="4">
        <v>361</v>
      </c>
      <c r="B362" s="5">
        <v>40559</v>
      </c>
      <c r="C362" s="4">
        <v>1</v>
      </c>
      <c r="D362" s="4">
        <v>12</v>
      </c>
      <c r="E362" s="4" t="b">
        <v>0</v>
      </c>
      <c r="F362" s="4">
        <v>0</v>
      </c>
      <c r="G362" s="4">
        <v>1</v>
      </c>
      <c r="H362" s="4">
        <v>0.24</v>
      </c>
      <c r="I362">
        <f>VLOOKUP(A362,[1]Datasheet_2!$A$2:$H$611,2,FALSE)</f>
        <v>360</v>
      </c>
      <c r="J362">
        <f>VLOOKUP(A362,[1]Datasheet_2!$A$2:$H$611,3,FALSE)</f>
        <v>0.21210000000000001</v>
      </c>
      <c r="K362" s="9">
        <f>VLOOKUP(A362,[1]Datasheet_2!$A$2:$H$611,4,FALSE)</f>
        <v>0.41</v>
      </c>
      <c r="L362" s="8">
        <f>VLOOKUP(A362,[1]Datasheet_2!$A$2:$H$611,5,FALSE)</f>
        <v>0.28360000000000002</v>
      </c>
      <c r="M362" s="8">
        <f>VLOOKUP(A362,[1]Datasheet_2!$A$2:$H$611,6,FALSE)</f>
        <v>29</v>
      </c>
      <c r="N362" s="8">
        <f>VLOOKUP(A362,[1]Datasheet_2!$A$2:$H$611,7,FALSE)</f>
        <v>75</v>
      </c>
      <c r="O362" s="9">
        <f>VLOOKUP(A362,[1]Datasheet_2!$A$2:$H$611,8,FALSE)</f>
        <v>104</v>
      </c>
    </row>
    <row r="363" spans="1:15" x14ac:dyDescent="0.3">
      <c r="A363" s="4">
        <v>362</v>
      </c>
      <c r="B363" s="5">
        <v>40559</v>
      </c>
      <c r="C363" s="4">
        <v>1</v>
      </c>
      <c r="D363" s="4">
        <v>13</v>
      </c>
      <c r="E363" s="4" t="b">
        <v>0</v>
      </c>
      <c r="F363" s="4">
        <v>0</v>
      </c>
      <c r="G363" s="4">
        <v>1</v>
      </c>
      <c r="H363" s="4">
        <v>0.26</v>
      </c>
      <c r="I363">
        <f>VLOOKUP(A363,[1]Datasheet_2!$A$2:$H$611,2,FALSE)</f>
        <v>361</v>
      </c>
      <c r="J363">
        <f>VLOOKUP(A363,[1]Datasheet_2!$A$2:$H$611,3,FALSE)</f>
        <v>0.2273</v>
      </c>
      <c r="K363" s="9">
        <f>VLOOKUP(A363,[1]Datasheet_2!$A$2:$H$611,4,FALSE)</f>
        <v>0.35</v>
      </c>
      <c r="L363" s="8">
        <f>VLOOKUP(A363,[1]Datasheet_2!$A$2:$H$611,5,FALSE)</f>
        <v>0.29849999999999999</v>
      </c>
      <c r="M363" s="8">
        <f>VLOOKUP(A363,[1]Datasheet_2!$A$2:$H$611,6,FALSE)</f>
        <v>23</v>
      </c>
      <c r="N363" s="8">
        <f>VLOOKUP(A363,[1]Datasheet_2!$A$2:$H$611,7,FALSE)</f>
        <v>95</v>
      </c>
      <c r="O363" s="9">
        <f>VLOOKUP(A363,[1]Datasheet_2!$A$2:$H$611,8,FALSE)</f>
        <v>118</v>
      </c>
    </row>
    <row r="364" spans="1:15" x14ac:dyDescent="0.3">
      <c r="A364" s="4">
        <v>363</v>
      </c>
      <c r="B364" s="5">
        <v>40559</v>
      </c>
      <c r="C364" s="4">
        <v>1</v>
      </c>
      <c r="D364" s="4">
        <v>14</v>
      </c>
      <c r="E364" s="4" t="b">
        <v>0</v>
      </c>
      <c r="F364" s="4">
        <v>0</v>
      </c>
      <c r="G364" s="4">
        <v>1</v>
      </c>
      <c r="H364" s="4">
        <v>0.28000000000000003</v>
      </c>
      <c r="I364">
        <f>VLOOKUP(A364,[1]Datasheet_2!$A$2:$H$611,2,FALSE)</f>
        <v>362</v>
      </c>
      <c r="J364">
        <f>VLOOKUP(A364,[1]Datasheet_2!$A$2:$H$611,3,FALSE)</f>
        <v>0.2727</v>
      </c>
      <c r="K364" s="9">
        <f>VLOOKUP(A364,[1]Datasheet_2!$A$2:$H$611,4,FALSE)</f>
        <v>0.36</v>
      </c>
      <c r="L364" s="8">
        <f>VLOOKUP(A364,[1]Datasheet_2!$A$2:$H$611,5,FALSE)</f>
        <v>0.25369999999999998</v>
      </c>
      <c r="M364" s="8">
        <f>VLOOKUP(A364,[1]Datasheet_2!$A$2:$H$611,6,FALSE)</f>
        <v>22</v>
      </c>
      <c r="N364" s="8">
        <f>VLOOKUP(A364,[1]Datasheet_2!$A$2:$H$611,7,FALSE)</f>
        <v>69</v>
      </c>
      <c r="O364" s="9">
        <f>VLOOKUP(A364,[1]Datasheet_2!$A$2:$H$611,8,FALSE)</f>
        <v>91</v>
      </c>
    </row>
    <row r="365" spans="1:15" x14ac:dyDescent="0.3">
      <c r="A365" s="4">
        <v>364</v>
      </c>
      <c r="B365" s="5">
        <v>40559</v>
      </c>
      <c r="C365" s="4">
        <v>1</v>
      </c>
      <c r="D365" s="4">
        <v>15</v>
      </c>
      <c r="E365" s="4" t="b">
        <v>0</v>
      </c>
      <c r="F365" s="4">
        <v>0</v>
      </c>
      <c r="G365" s="4">
        <v>1</v>
      </c>
      <c r="H365" s="4">
        <v>0.26</v>
      </c>
      <c r="I365">
        <f>VLOOKUP(A365,[1]Datasheet_2!$A$2:$H$611,2,FALSE)</f>
        <v>363</v>
      </c>
      <c r="J365">
        <f>VLOOKUP(A365,[1]Datasheet_2!$A$2:$H$611,3,FALSE)</f>
        <v>0.2424</v>
      </c>
      <c r="K365" s="9">
        <f>VLOOKUP(A365,[1]Datasheet_2!$A$2:$H$611,4,FALSE)</f>
        <v>0.38</v>
      </c>
      <c r="L365" s="8">
        <f>VLOOKUP(A365,[1]Datasheet_2!$A$2:$H$611,5,FALSE)</f>
        <v>0.25369999999999998</v>
      </c>
      <c r="M365" s="8">
        <f>VLOOKUP(A365,[1]Datasheet_2!$A$2:$H$611,6,FALSE)</f>
        <v>35</v>
      </c>
      <c r="N365" s="8">
        <f>VLOOKUP(A365,[1]Datasheet_2!$A$2:$H$611,7,FALSE)</f>
        <v>78</v>
      </c>
      <c r="O365" s="9">
        <f>VLOOKUP(A365,[1]Datasheet_2!$A$2:$H$611,8,FALSE)</f>
        <v>113</v>
      </c>
    </row>
    <row r="366" spans="1:15" x14ac:dyDescent="0.3">
      <c r="A366" s="4">
        <v>365</v>
      </c>
      <c r="B366" s="5">
        <v>40559</v>
      </c>
      <c r="C366" s="4">
        <v>1</v>
      </c>
      <c r="D366" s="4">
        <v>16</v>
      </c>
      <c r="E366" s="4" t="b">
        <v>0</v>
      </c>
      <c r="F366" s="4">
        <v>0</v>
      </c>
      <c r="G366" s="4">
        <v>1</v>
      </c>
      <c r="H366" s="4">
        <v>0.24</v>
      </c>
      <c r="I366">
        <f>VLOOKUP(A366,[1]Datasheet_2!$A$2:$H$611,2,FALSE)</f>
        <v>364</v>
      </c>
      <c r="J366">
        <f>VLOOKUP(A366,[1]Datasheet_2!$A$2:$H$611,3,FALSE)</f>
        <v>0.2273</v>
      </c>
      <c r="K366" s="9">
        <f>VLOOKUP(A366,[1]Datasheet_2!$A$2:$H$611,4,FALSE)</f>
        <v>0.38</v>
      </c>
      <c r="L366" s="8">
        <f>VLOOKUP(A366,[1]Datasheet_2!$A$2:$H$611,5,FALSE)</f>
        <v>0.22389999999999999</v>
      </c>
      <c r="M366" s="8">
        <f>VLOOKUP(A366,[1]Datasheet_2!$A$2:$H$611,6,FALSE)</f>
        <v>22</v>
      </c>
      <c r="N366" s="8">
        <f>VLOOKUP(A366,[1]Datasheet_2!$A$2:$H$611,7,FALSE)</f>
        <v>77</v>
      </c>
      <c r="O366" s="9">
        <f>VLOOKUP(A366,[1]Datasheet_2!$A$2:$H$611,8,FALSE)</f>
        <v>99</v>
      </c>
    </row>
    <row r="367" spans="1:15" x14ac:dyDescent="0.3">
      <c r="A367" s="4">
        <v>366</v>
      </c>
      <c r="B367" s="5">
        <v>40559</v>
      </c>
      <c r="C367" s="4">
        <v>1</v>
      </c>
      <c r="D367" s="4">
        <v>17</v>
      </c>
      <c r="E367" s="4" t="b">
        <v>0</v>
      </c>
      <c r="F367" s="4">
        <v>0</v>
      </c>
      <c r="G367" s="4">
        <v>1</v>
      </c>
      <c r="H367" s="4">
        <v>0.22</v>
      </c>
      <c r="I367">
        <f>VLOOKUP(A367,[1]Datasheet_2!$A$2:$H$611,2,FALSE)</f>
        <v>365</v>
      </c>
      <c r="J367">
        <f>VLOOKUP(A367,[1]Datasheet_2!$A$2:$H$611,3,FALSE)</f>
        <v>0.21210000000000001</v>
      </c>
      <c r="K367" s="9">
        <f>VLOOKUP(A367,[1]Datasheet_2!$A$2:$H$611,4,FALSE)</f>
        <v>0.37</v>
      </c>
      <c r="L367" s="8">
        <f>VLOOKUP(A367,[1]Datasheet_2!$A$2:$H$611,5,FALSE)</f>
        <v>0.25369999999999998</v>
      </c>
      <c r="M367" s="8">
        <f>VLOOKUP(A367,[1]Datasheet_2!$A$2:$H$611,6,FALSE)</f>
        <v>23</v>
      </c>
      <c r="N367" s="8">
        <f>VLOOKUP(A367,[1]Datasheet_2!$A$2:$H$611,7,FALSE)</f>
        <v>82</v>
      </c>
      <c r="O367" s="9">
        <f>VLOOKUP(A367,[1]Datasheet_2!$A$2:$H$611,8,FALSE)</f>
        <v>105</v>
      </c>
    </row>
    <row r="368" spans="1:15" x14ac:dyDescent="0.3">
      <c r="A368" s="4">
        <v>367</v>
      </c>
      <c r="B368" s="5">
        <v>40559</v>
      </c>
      <c r="C368" s="4">
        <v>1</v>
      </c>
      <c r="D368" s="4">
        <v>18</v>
      </c>
      <c r="E368" s="4" t="b">
        <v>0</v>
      </c>
      <c r="F368" s="4">
        <v>0</v>
      </c>
      <c r="G368" s="4">
        <v>1</v>
      </c>
      <c r="H368" s="4">
        <v>0.2</v>
      </c>
      <c r="I368">
        <f>VLOOKUP(A368,[1]Datasheet_2!$A$2:$H$611,2,FALSE)</f>
        <v>366</v>
      </c>
      <c r="J368">
        <f>VLOOKUP(A368,[1]Datasheet_2!$A$2:$H$611,3,FALSE)</f>
        <v>0.21210000000000001</v>
      </c>
      <c r="K368" s="9">
        <f>VLOOKUP(A368,[1]Datasheet_2!$A$2:$H$611,4,FALSE)</f>
        <v>0.4</v>
      </c>
      <c r="L368" s="8">
        <f>VLOOKUP(A368,[1]Datasheet_2!$A$2:$H$611,5,FALSE)</f>
        <v>0.16420000000000001</v>
      </c>
      <c r="M368" s="8">
        <f>VLOOKUP(A368,[1]Datasheet_2!$A$2:$H$611,6,FALSE)</f>
        <v>11</v>
      </c>
      <c r="N368" s="8">
        <f>VLOOKUP(A368,[1]Datasheet_2!$A$2:$H$611,7,FALSE)</f>
        <v>56</v>
      </c>
      <c r="O368" s="9">
        <f>VLOOKUP(A368,[1]Datasheet_2!$A$2:$H$611,8,FALSE)</f>
        <v>67</v>
      </c>
    </row>
    <row r="369" spans="1:15" x14ac:dyDescent="0.3">
      <c r="A369" s="4">
        <v>368</v>
      </c>
      <c r="B369" s="5">
        <v>40559</v>
      </c>
      <c r="C369" s="4">
        <v>1</v>
      </c>
      <c r="D369" s="4">
        <v>19</v>
      </c>
      <c r="E369" s="4" t="b">
        <v>0</v>
      </c>
      <c r="F369" s="4">
        <v>0</v>
      </c>
      <c r="G369" s="4">
        <v>1</v>
      </c>
      <c r="H369" s="4">
        <v>0.18</v>
      </c>
      <c r="I369">
        <f>VLOOKUP(A369,[1]Datasheet_2!$A$2:$H$611,2,FALSE)</f>
        <v>367</v>
      </c>
      <c r="J369">
        <f>VLOOKUP(A369,[1]Datasheet_2!$A$2:$H$611,3,FALSE)</f>
        <v>0.19700000000000001</v>
      </c>
      <c r="K369" s="9">
        <f>VLOOKUP(A369,[1]Datasheet_2!$A$2:$H$611,4,FALSE)</f>
        <v>0.47</v>
      </c>
      <c r="L369" s="8">
        <f>VLOOKUP(A369,[1]Datasheet_2!$A$2:$H$611,5,FALSE)</f>
        <v>0.1343</v>
      </c>
      <c r="M369" s="8">
        <f>VLOOKUP(A369,[1]Datasheet_2!$A$2:$H$611,6,FALSE)</f>
        <v>14</v>
      </c>
      <c r="N369" s="8">
        <f>VLOOKUP(A369,[1]Datasheet_2!$A$2:$H$611,7,FALSE)</f>
        <v>47</v>
      </c>
      <c r="O369" s="9">
        <f>VLOOKUP(A369,[1]Datasheet_2!$A$2:$H$611,8,FALSE)</f>
        <v>61</v>
      </c>
    </row>
    <row r="370" spans="1:15" x14ac:dyDescent="0.3">
      <c r="A370" s="4">
        <v>369</v>
      </c>
      <c r="B370" s="5">
        <v>40559</v>
      </c>
      <c r="C370" s="4">
        <v>1</v>
      </c>
      <c r="D370" s="4">
        <v>20</v>
      </c>
      <c r="E370" s="4" t="b">
        <v>0</v>
      </c>
      <c r="F370" s="4">
        <v>0</v>
      </c>
      <c r="G370" s="4">
        <v>1</v>
      </c>
      <c r="H370" s="4">
        <v>0.18</v>
      </c>
      <c r="I370">
        <f>VLOOKUP(A370,[1]Datasheet_2!$A$2:$H$611,2,FALSE)</f>
        <v>368</v>
      </c>
      <c r="J370">
        <f>VLOOKUP(A370,[1]Datasheet_2!$A$2:$H$611,3,FALSE)</f>
        <v>0.19700000000000001</v>
      </c>
      <c r="K370" s="9">
        <f>VLOOKUP(A370,[1]Datasheet_2!$A$2:$H$611,4,FALSE)</f>
        <v>0.47</v>
      </c>
      <c r="L370" s="8">
        <f>VLOOKUP(A370,[1]Datasheet_2!$A$2:$H$611,5,FALSE)</f>
        <v>0.16420000000000001</v>
      </c>
      <c r="M370" s="8">
        <f>VLOOKUP(A370,[1]Datasheet_2!$A$2:$H$611,6,FALSE)</f>
        <v>7</v>
      </c>
      <c r="N370" s="8">
        <f>VLOOKUP(A370,[1]Datasheet_2!$A$2:$H$611,7,FALSE)</f>
        <v>50</v>
      </c>
      <c r="O370" s="9">
        <f>VLOOKUP(A370,[1]Datasheet_2!$A$2:$H$611,8,FALSE)</f>
        <v>57</v>
      </c>
    </row>
    <row r="371" spans="1:15" x14ac:dyDescent="0.3">
      <c r="A371" s="4">
        <v>370</v>
      </c>
      <c r="B371" s="5">
        <v>40559</v>
      </c>
      <c r="C371" s="4">
        <v>1</v>
      </c>
      <c r="D371" s="4">
        <v>21</v>
      </c>
      <c r="E371" s="4" t="b">
        <v>0</v>
      </c>
      <c r="F371" s="4">
        <v>0</v>
      </c>
      <c r="G371" s="4">
        <v>1</v>
      </c>
      <c r="H371" s="4">
        <v>0.18</v>
      </c>
      <c r="I371">
        <f>VLOOKUP(A371,[1]Datasheet_2!$A$2:$H$611,2,FALSE)</f>
        <v>369</v>
      </c>
      <c r="J371">
        <f>VLOOKUP(A371,[1]Datasheet_2!$A$2:$H$611,3,FALSE)</f>
        <v>0.19700000000000001</v>
      </c>
      <c r="K371" s="9">
        <f>VLOOKUP(A371,[1]Datasheet_2!$A$2:$H$611,4,FALSE)</f>
        <v>0.51</v>
      </c>
      <c r="L371" s="8">
        <f>VLOOKUP(A371,[1]Datasheet_2!$A$2:$H$611,5,FALSE)</f>
        <v>0.16420000000000001</v>
      </c>
      <c r="M371" s="8">
        <f>VLOOKUP(A371,[1]Datasheet_2!$A$2:$H$611,6,FALSE)</f>
        <v>6</v>
      </c>
      <c r="N371" s="8">
        <f>VLOOKUP(A371,[1]Datasheet_2!$A$2:$H$611,7,FALSE)</f>
        <v>22</v>
      </c>
      <c r="O371" s="9">
        <f>VLOOKUP(A371,[1]Datasheet_2!$A$2:$H$611,8,FALSE)</f>
        <v>28</v>
      </c>
    </row>
    <row r="372" spans="1:15" x14ac:dyDescent="0.3">
      <c r="A372" s="4">
        <v>371</v>
      </c>
      <c r="B372" s="5">
        <v>40559</v>
      </c>
      <c r="C372" s="4">
        <v>1</v>
      </c>
      <c r="D372" s="4">
        <v>22</v>
      </c>
      <c r="E372" s="4" t="b">
        <v>0</v>
      </c>
      <c r="F372" s="4">
        <v>0</v>
      </c>
      <c r="G372" s="4">
        <v>2</v>
      </c>
      <c r="H372" s="4">
        <v>0.2</v>
      </c>
      <c r="I372">
        <f>VLOOKUP(A372,[1]Datasheet_2!$A$2:$H$611,2,FALSE)</f>
        <v>370</v>
      </c>
      <c r="J372">
        <f>VLOOKUP(A372,[1]Datasheet_2!$A$2:$H$611,3,FALSE)</f>
        <v>0.21210000000000001</v>
      </c>
      <c r="K372" s="9">
        <f>VLOOKUP(A372,[1]Datasheet_2!$A$2:$H$611,4,FALSE)</f>
        <v>0.49</v>
      </c>
      <c r="L372" s="8">
        <f>VLOOKUP(A372,[1]Datasheet_2!$A$2:$H$611,5,FALSE)</f>
        <v>0.1343</v>
      </c>
      <c r="M372" s="8">
        <f>VLOOKUP(A372,[1]Datasheet_2!$A$2:$H$611,6,FALSE)</f>
        <v>2</v>
      </c>
      <c r="N372" s="8">
        <f>VLOOKUP(A372,[1]Datasheet_2!$A$2:$H$611,7,FALSE)</f>
        <v>19</v>
      </c>
      <c r="O372" s="9">
        <f>VLOOKUP(A372,[1]Datasheet_2!$A$2:$H$611,8,FALSE)</f>
        <v>21</v>
      </c>
    </row>
    <row r="373" spans="1:15" x14ac:dyDescent="0.3">
      <c r="A373" s="4">
        <v>372</v>
      </c>
      <c r="B373" s="5">
        <v>40559</v>
      </c>
      <c r="C373" s="4">
        <v>1</v>
      </c>
      <c r="D373" s="4">
        <v>23</v>
      </c>
      <c r="E373" s="4" t="b">
        <v>0</v>
      </c>
      <c r="F373" s="4">
        <v>0</v>
      </c>
      <c r="G373" s="4">
        <v>2</v>
      </c>
      <c r="H373" s="4">
        <v>0.2</v>
      </c>
      <c r="I373">
        <f>VLOOKUP(A373,[1]Datasheet_2!$A$2:$H$611,2,FALSE)</f>
        <v>371</v>
      </c>
      <c r="J373">
        <f>VLOOKUP(A373,[1]Datasheet_2!$A$2:$H$611,3,FALSE)</f>
        <v>0.2273</v>
      </c>
      <c r="K373" s="9">
        <f>VLOOKUP(A373,[1]Datasheet_2!$A$2:$H$611,4,FALSE)</f>
        <v>0.4</v>
      </c>
      <c r="L373" s="8">
        <f>VLOOKUP(A373,[1]Datasheet_2!$A$2:$H$611,5,FALSE)</f>
        <v>0.1045</v>
      </c>
      <c r="M373" s="8">
        <f>VLOOKUP(A373,[1]Datasheet_2!$A$2:$H$611,6,FALSE)</f>
        <v>0</v>
      </c>
      <c r="N373" s="8">
        <f>VLOOKUP(A373,[1]Datasheet_2!$A$2:$H$611,7,FALSE)</f>
        <v>18</v>
      </c>
      <c r="O373" s="9">
        <f>VLOOKUP(A373,[1]Datasheet_2!$A$2:$H$611,8,FALSE)</f>
        <v>18</v>
      </c>
    </row>
    <row r="374" spans="1:15" x14ac:dyDescent="0.3">
      <c r="A374" s="4">
        <v>373</v>
      </c>
      <c r="B374" s="5">
        <v>40560</v>
      </c>
      <c r="C374" s="4">
        <v>1</v>
      </c>
      <c r="D374" s="4">
        <v>0</v>
      </c>
      <c r="E374" s="4" t="b">
        <v>1</v>
      </c>
      <c r="F374" s="4">
        <v>1</v>
      </c>
      <c r="G374" s="4">
        <v>2</v>
      </c>
      <c r="H374" s="4">
        <v>0.2</v>
      </c>
      <c r="I374">
        <f>VLOOKUP(A374,[1]Datasheet_2!$A$2:$H$611,2,FALSE)</f>
        <v>372</v>
      </c>
      <c r="J374">
        <f>VLOOKUP(A374,[1]Datasheet_2!$A$2:$H$611,3,FALSE)</f>
        <v>0.19700000000000001</v>
      </c>
      <c r="K374" s="9">
        <f>VLOOKUP(A374,[1]Datasheet_2!$A$2:$H$611,4,FALSE)</f>
        <v>0.47</v>
      </c>
      <c r="L374" s="8">
        <f>VLOOKUP(A374,[1]Datasheet_2!$A$2:$H$611,5,FALSE)</f>
        <v>0.22389999999999999</v>
      </c>
      <c r="M374" s="8">
        <f>VLOOKUP(A374,[1]Datasheet_2!$A$2:$H$611,6,FALSE)</f>
        <v>1</v>
      </c>
      <c r="N374" s="8">
        <f>VLOOKUP(A374,[1]Datasheet_2!$A$2:$H$611,7,FALSE)</f>
        <v>16</v>
      </c>
      <c r="O374" s="9">
        <f>VLOOKUP(A374,[1]Datasheet_2!$A$2:$H$611,8,FALSE)</f>
        <v>17</v>
      </c>
    </row>
    <row r="375" spans="1:15" x14ac:dyDescent="0.3">
      <c r="A375" s="4">
        <v>374</v>
      </c>
      <c r="B375" s="5">
        <v>40560</v>
      </c>
      <c r="C375" s="4">
        <v>1</v>
      </c>
      <c r="D375" s="4">
        <v>1</v>
      </c>
      <c r="E375" s="4" t="b">
        <v>1</v>
      </c>
      <c r="F375" s="4">
        <v>1</v>
      </c>
      <c r="G375" s="4">
        <v>2</v>
      </c>
      <c r="H375" s="4">
        <v>0.2</v>
      </c>
      <c r="I375">
        <f>VLOOKUP(A375,[1]Datasheet_2!$A$2:$H$611,2,FALSE)</f>
        <v>373</v>
      </c>
      <c r="J375">
        <f>VLOOKUP(A375,[1]Datasheet_2!$A$2:$H$611,3,FALSE)</f>
        <v>0.19700000000000001</v>
      </c>
      <c r="K375" s="9">
        <f>VLOOKUP(A375,[1]Datasheet_2!$A$2:$H$611,4,FALSE)</f>
        <v>0.44</v>
      </c>
      <c r="L375" s="8">
        <f>VLOOKUP(A375,[1]Datasheet_2!$A$2:$H$611,5,FALSE)</f>
        <v>0.19400000000000001</v>
      </c>
      <c r="M375" s="8">
        <f>VLOOKUP(A375,[1]Datasheet_2!$A$2:$H$611,6,FALSE)</f>
        <v>1</v>
      </c>
      <c r="N375" s="8">
        <f>VLOOKUP(A375,[1]Datasheet_2!$A$2:$H$611,7,FALSE)</f>
        <v>15</v>
      </c>
      <c r="O375" s="9">
        <f>VLOOKUP(A375,[1]Datasheet_2!$A$2:$H$611,8,FALSE)</f>
        <v>16</v>
      </c>
    </row>
    <row r="376" spans="1:15" x14ac:dyDescent="0.3">
      <c r="A376" s="4">
        <v>375</v>
      </c>
      <c r="B376" s="5">
        <v>40560</v>
      </c>
      <c r="C376" s="4">
        <v>1</v>
      </c>
      <c r="D376" s="4">
        <v>2</v>
      </c>
      <c r="E376" s="4" t="b">
        <v>1</v>
      </c>
      <c r="F376" s="4">
        <v>1</v>
      </c>
      <c r="G376" s="4">
        <v>2</v>
      </c>
      <c r="H376" s="4">
        <v>0.18</v>
      </c>
      <c r="I376">
        <f>VLOOKUP(A376,[1]Datasheet_2!$A$2:$H$611,2,FALSE)</f>
        <v>374</v>
      </c>
      <c r="J376">
        <f>VLOOKUP(A376,[1]Datasheet_2!$A$2:$H$611,3,FALSE)</f>
        <v>0.16669999999999999</v>
      </c>
      <c r="K376" s="9">
        <f>VLOOKUP(A376,[1]Datasheet_2!$A$2:$H$611,4,FALSE)</f>
        <v>0.43</v>
      </c>
      <c r="L376" s="8">
        <f>VLOOKUP(A376,[1]Datasheet_2!$A$2:$H$611,5,FALSE)</f>
        <v>0.25369999999999998</v>
      </c>
      <c r="M376" s="8">
        <f>VLOOKUP(A376,[1]Datasheet_2!$A$2:$H$611,6,FALSE)</f>
        <v>0</v>
      </c>
      <c r="N376" s="8">
        <f>VLOOKUP(A376,[1]Datasheet_2!$A$2:$H$611,7,FALSE)</f>
        <v>8</v>
      </c>
      <c r="O376" s="9">
        <f>VLOOKUP(A376,[1]Datasheet_2!$A$2:$H$611,8,FALSE)</f>
        <v>8</v>
      </c>
    </row>
    <row r="377" spans="1:15" x14ac:dyDescent="0.3">
      <c r="A377" s="4">
        <v>376</v>
      </c>
      <c r="B377" s="5">
        <v>40560</v>
      </c>
      <c r="C377" s="4">
        <v>1</v>
      </c>
      <c r="D377" s="4">
        <v>3</v>
      </c>
      <c r="E377" s="4" t="b">
        <v>1</v>
      </c>
      <c r="F377" s="4">
        <v>1</v>
      </c>
      <c r="G377" s="4">
        <v>2</v>
      </c>
      <c r="H377" s="4">
        <v>0.18</v>
      </c>
      <c r="I377">
        <f>VLOOKUP(A377,[1]Datasheet_2!$A$2:$H$611,2,FALSE)</f>
        <v>375</v>
      </c>
      <c r="J377">
        <f>VLOOKUP(A377,[1]Datasheet_2!$A$2:$H$611,3,FALSE)</f>
        <v>0.18179999999999999</v>
      </c>
      <c r="K377" s="9">
        <f>VLOOKUP(A377,[1]Datasheet_2!$A$2:$H$611,4,FALSE)</f>
        <v>0.43</v>
      </c>
      <c r="L377" s="8">
        <f>VLOOKUP(A377,[1]Datasheet_2!$A$2:$H$611,5,FALSE)</f>
        <v>0.19400000000000001</v>
      </c>
      <c r="M377" s="8">
        <f>VLOOKUP(A377,[1]Datasheet_2!$A$2:$H$611,6,FALSE)</f>
        <v>0</v>
      </c>
      <c r="N377" s="8">
        <f>VLOOKUP(A377,[1]Datasheet_2!$A$2:$H$611,7,FALSE)</f>
        <v>2</v>
      </c>
      <c r="O377" s="9">
        <f>VLOOKUP(A377,[1]Datasheet_2!$A$2:$H$611,8,FALSE)</f>
        <v>2</v>
      </c>
    </row>
    <row r="378" spans="1:15" x14ac:dyDescent="0.3">
      <c r="A378" s="4">
        <v>377</v>
      </c>
      <c r="B378" s="5">
        <v>40560</v>
      </c>
      <c r="C378" s="4">
        <v>1</v>
      </c>
      <c r="D378" s="4">
        <v>4</v>
      </c>
      <c r="E378" s="4" t="b">
        <v>1</v>
      </c>
      <c r="F378" s="4">
        <v>1</v>
      </c>
      <c r="G378" s="4">
        <v>2</v>
      </c>
      <c r="H378" s="4">
        <v>0.18</v>
      </c>
      <c r="I378">
        <f>VLOOKUP(A378,[1]Datasheet_2!$A$2:$H$611,2,FALSE)</f>
        <v>376</v>
      </c>
      <c r="J378">
        <f>VLOOKUP(A378,[1]Datasheet_2!$A$2:$H$611,3,FALSE)</f>
        <v>0.19700000000000001</v>
      </c>
      <c r="K378" s="9">
        <f>VLOOKUP(A378,[1]Datasheet_2!$A$2:$H$611,4,FALSE)</f>
        <v>0.43</v>
      </c>
      <c r="L378" s="8">
        <f>VLOOKUP(A378,[1]Datasheet_2!$A$2:$H$611,5,FALSE)</f>
        <v>0.1343</v>
      </c>
      <c r="M378" s="8">
        <f>VLOOKUP(A378,[1]Datasheet_2!$A$2:$H$611,6,FALSE)</f>
        <v>1</v>
      </c>
      <c r="N378" s="8">
        <f>VLOOKUP(A378,[1]Datasheet_2!$A$2:$H$611,7,FALSE)</f>
        <v>2</v>
      </c>
      <c r="O378" s="9">
        <f>VLOOKUP(A378,[1]Datasheet_2!$A$2:$H$611,8,FALSE)</f>
        <v>3</v>
      </c>
    </row>
    <row r="379" spans="1:15" x14ac:dyDescent="0.3">
      <c r="A379" s="4">
        <v>378</v>
      </c>
      <c r="B379" s="5">
        <v>40560</v>
      </c>
      <c r="C379" s="4">
        <v>1</v>
      </c>
      <c r="D379" s="4">
        <v>5</v>
      </c>
      <c r="E379" s="4" t="b">
        <v>1</v>
      </c>
      <c r="F379" s="4">
        <v>1</v>
      </c>
      <c r="G379" s="4">
        <v>2</v>
      </c>
      <c r="H379" s="4">
        <v>0.18</v>
      </c>
      <c r="I379">
        <f>VLOOKUP(A379,[1]Datasheet_2!$A$2:$H$611,2,FALSE)</f>
        <v>377</v>
      </c>
      <c r="J379">
        <f>VLOOKUP(A379,[1]Datasheet_2!$A$2:$H$611,3,FALSE)</f>
        <v>0.19700000000000001</v>
      </c>
      <c r="K379" s="9">
        <f>VLOOKUP(A379,[1]Datasheet_2!$A$2:$H$611,4,FALSE)</f>
        <v>0.43</v>
      </c>
      <c r="L379" s="8">
        <f>VLOOKUP(A379,[1]Datasheet_2!$A$2:$H$611,5,FALSE)</f>
        <v>0.16420000000000001</v>
      </c>
      <c r="M379" s="8">
        <f>VLOOKUP(A379,[1]Datasheet_2!$A$2:$H$611,6,FALSE)</f>
        <v>0</v>
      </c>
      <c r="N379" s="8">
        <f>VLOOKUP(A379,[1]Datasheet_2!$A$2:$H$611,7,FALSE)</f>
        <v>1</v>
      </c>
      <c r="O379" s="9">
        <f>VLOOKUP(A379,[1]Datasheet_2!$A$2:$H$611,8,FALSE)</f>
        <v>1</v>
      </c>
    </row>
    <row r="380" spans="1:15" x14ac:dyDescent="0.3">
      <c r="A380" s="4">
        <v>379</v>
      </c>
      <c r="B380" s="5">
        <v>40560</v>
      </c>
      <c r="C380" s="4">
        <v>1</v>
      </c>
      <c r="D380" s="4">
        <v>6</v>
      </c>
      <c r="E380" s="4" t="b">
        <v>1</v>
      </c>
      <c r="F380" s="4">
        <v>1</v>
      </c>
      <c r="G380" s="4">
        <v>2</v>
      </c>
      <c r="H380" s="4">
        <v>0.18</v>
      </c>
      <c r="I380">
        <f>VLOOKUP(A380,[1]Datasheet_2!$A$2:$H$611,2,FALSE)</f>
        <v>378</v>
      </c>
      <c r="J380">
        <f>VLOOKUP(A380,[1]Datasheet_2!$A$2:$H$611,3,FALSE)</f>
        <v>0.18179999999999999</v>
      </c>
      <c r="K380" s="9">
        <f>VLOOKUP(A380,[1]Datasheet_2!$A$2:$H$611,4,FALSE)</f>
        <v>0.43</v>
      </c>
      <c r="L380" s="8">
        <f>VLOOKUP(A380,[1]Datasheet_2!$A$2:$H$611,5,FALSE)</f>
        <v>0.19400000000000001</v>
      </c>
      <c r="M380" s="8">
        <f>VLOOKUP(A380,[1]Datasheet_2!$A$2:$H$611,6,FALSE)</f>
        <v>0</v>
      </c>
      <c r="N380" s="8">
        <f>VLOOKUP(A380,[1]Datasheet_2!$A$2:$H$611,7,FALSE)</f>
        <v>5</v>
      </c>
      <c r="O380" s="9">
        <f>VLOOKUP(A380,[1]Datasheet_2!$A$2:$H$611,8,FALSE)</f>
        <v>5</v>
      </c>
    </row>
    <row r="381" spans="1:15" x14ac:dyDescent="0.3">
      <c r="A381" s="4">
        <v>380</v>
      </c>
      <c r="B381" s="5">
        <v>40560</v>
      </c>
      <c r="C381" s="4">
        <v>1</v>
      </c>
      <c r="D381" s="4">
        <v>7</v>
      </c>
      <c r="E381" s="4" t="b">
        <v>1</v>
      </c>
      <c r="F381" s="4">
        <v>1</v>
      </c>
      <c r="G381" s="4">
        <v>2</v>
      </c>
      <c r="H381" s="4">
        <v>0.16</v>
      </c>
      <c r="I381">
        <f>VLOOKUP(A381,[1]Datasheet_2!$A$2:$H$611,2,FALSE)</f>
        <v>379</v>
      </c>
      <c r="J381">
        <f>VLOOKUP(A381,[1]Datasheet_2!$A$2:$H$611,3,FALSE)</f>
        <v>0.18179999999999999</v>
      </c>
      <c r="K381" s="9">
        <f>VLOOKUP(A381,[1]Datasheet_2!$A$2:$H$611,4,FALSE)</f>
        <v>0.5</v>
      </c>
      <c r="L381" s="8">
        <f>VLOOKUP(A381,[1]Datasheet_2!$A$2:$H$611,5,FALSE)</f>
        <v>0.1343</v>
      </c>
      <c r="M381" s="8">
        <f>VLOOKUP(A381,[1]Datasheet_2!$A$2:$H$611,6,FALSE)</f>
        <v>4</v>
      </c>
      <c r="N381" s="8">
        <f>VLOOKUP(A381,[1]Datasheet_2!$A$2:$H$611,7,FALSE)</f>
        <v>9</v>
      </c>
      <c r="O381" s="9">
        <f>VLOOKUP(A381,[1]Datasheet_2!$A$2:$H$611,8,FALSE)</f>
        <v>13</v>
      </c>
    </row>
    <row r="382" spans="1:15" x14ac:dyDescent="0.3">
      <c r="A382" s="4">
        <v>381</v>
      </c>
      <c r="B382" s="5">
        <v>40560</v>
      </c>
      <c r="C382" s="4">
        <v>1</v>
      </c>
      <c r="D382" s="4">
        <v>8</v>
      </c>
      <c r="E382" s="4" t="b">
        <v>1</v>
      </c>
      <c r="F382" s="4">
        <v>1</v>
      </c>
      <c r="G382" s="4">
        <v>2</v>
      </c>
      <c r="H382" s="4">
        <v>0.16</v>
      </c>
      <c r="I382">
        <f>VLOOKUP(A382,[1]Datasheet_2!$A$2:$H$611,2,FALSE)</f>
        <v>380</v>
      </c>
      <c r="J382">
        <f>VLOOKUP(A382,[1]Datasheet_2!$A$2:$H$611,3,FALSE)</f>
        <v>0.1515</v>
      </c>
      <c r="K382" s="9">
        <f>VLOOKUP(A382,[1]Datasheet_2!$A$2:$H$611,4,FALSE)</f>
        <v>0.47</v>
      </c>
      <c r="L382" s="8">
        <f>VLOOKUP(A382,[1]Datasheet_2!$A$2:$H$611,5,FALSE)</f>
        <v>0.22389999999999999</v>
      </c>
      <c r="M382" s="8">
        <f>VLOOKUP(A382,[1]Datasheet_2!$A$2:$H$611,6,FALSE)</f>
        <v>3</v>
      </c>
      <c r="N382" s="8">
        <f>VLOOKUP(A382,[1]Datasheet_2!$A$2:$H$611,7,FALSE)</f>
        <v>30</v>
      </c>
      <c r="O382" s="9">
        <f>VLOOKUP(A382,[1]Datasheet_2!$A$2:$H$611,8,FALSE)</f>
        <v>33</v>
      </c>
    </row>
    <row r="383" spans="1:15" x14ac:dyDescent="0.3">
      <c r="A383" s="4">
        <v>382</v>
      </c>
      <c r="B383" s="5">
        <v>40560</v>
      </c>
      <c r="C383" s="4">
        <v>1</v>
      </c>
      <c r="D383" s="4">
        <v>9</v>
      </c>
      <c r="E383" s="4" t="b">
        <v>1</v>
      </c>
      <c r="F383" s="4">
        <v>1</v>
      </c>
      <c r="G383" s="4">
        <v>2</v>
      </c>
      <c r="H383" s="4">
        <v>0.16</v>
      </c>
      <c r="I383">
        <f>VLOOKUP(A383,[1]Datasheet_2!$A$2:$H$611,2,FALSE)</f>
        <v>381</v>
      </c>
      <c r="J383">
        <f>VLOOKUP(A383,[1]Datasheet_2!$A$2:$H$611,3,FALSE)</f>
        <v>0.1515</v>
      </c>
      <c r="K383" s="9">
        <f>VLOOKUP(A383,[1]Datasheet_2!$A$2:$H$611,4,FALSE)</f>
        <v>0.47</v>
      </c>
      <c r="L383" s="8">
        <f>VLOOKUP(A383,[1]Datasheet_2!$A$2:$H$611,5,FALSE)</f>
        <v>0.22389999999999999</v>
      </c>
      <c r="M383" s="8">
        <f>VLOOKUP(A383,[1]Datasheet_2!$A$2:$H$611,6,FALSE)</f>
        <v>8</v>
      </c>
      <c r="N383" s="8">
        <f>VLOOKUP(A383,[1]Datasheet_2!$A$2:$H$611,7,FALSE)</f>
        <v>39</v>
      </c>
      <c r="O383" s="9">
        <f>VLOOKUP(A383,[1]Datasheet_2!$A$2:$H$611,8,FALSE)</f>
        <v>47</v>
      </c>
    </row>
    <row r="384" spans="1:15" x14ac:dyDescent="0.3">
      <c r="A384" s="4">
        <v>383</v>
      </c>
      <c r="B384" s="5">
        <v>40560</v>
      </c>
      <c r="C384" s="4">
        <v>1</v>
      </c>
      <c r="D384" s="4">
        <v>10</v>
      </c>
      <c r="E384" s="4" t="b">
        <v>1</v>
      </c>
      <c r="F384" s="4">
        <v>1</v>
      </c>
      <c r="G384" s="4">
        <v>2</v>
      </c>
      <c r="H384" s="4">
        <v>0.16</v>
      </c>
      <c r="I384">
        <f>VLOOKUP(A384,[1]Datasheet_2!$A$2:$H$611,2,FALSE)</f>
        <v>382</v>
      </c>
      <c r="J384">
        <f>VLOOKUP(A384,[1]Datasheet_2!$A$2:$H$611,3,FALSE)</f>
        <v>0.1515</v>
      </c>
      <c r="K384" s="9">
        <f>VLOOKUP(A384,[1]Datasheet_2!$A$2:$H$611,4,FALSE)</f>
        <v>0.5</v>
      </c>
      <c r="L384" s="8">
        <f>VLOOKUP(A384,[1]Datasheet_2!$A$2:$H$611,5,FALSE)</f>
        <v>0.25369999999999998</v>
      </c>
      <c r="M384" s="8">
        <f>VLOOKUP(A384,[1]Datasheet_2!$A$2:$H$611,6,FALSE)</f>
        <v>7</v>
      </c>
      <c r="N384" s="8">
        <f>VLOOKUP(A384,[1]Datasheet_2!$A$2:$H$611,7,FALSE)</f>
        <v>50</v>
      </c>
      <c r="O384" s="9">
        <f>VLOOKUP(A384,[1]Datasheet_2!$A$2:$H$611,8,FALSE)</f>
        <v>57</v>
      </c>
    </row>
    <row r="385" spans="1:15" x14ac:dyDescent="0.3">
      <c r="A385" s="4">
        <v>384</v>
      </c>
      <c r="B385" s="5">
        <v>40560</v>
      </c>
      <c r="C385" s="4">
        <v>1</v>
      </c>
      <c r="D385" s="4">
        <v>11</v>
      </c>
      <c r="E385" s="4" t="b">
        <v>1</v>
      </c>
      <c r="F385" s="4">
        <v>1</v>
      </c>
      <c r="G385" s="4">
        <v>2</v>
      </c>
      <c r="H385" s="4">
        <v>0.16</v>
      </c>
      <c r="I385">
        <f>VLOOKUP(A385,[1]Datasheet_2!$A$2:$H$611,2,FALSE)</f>
        <v>383</v>
      </c>
      <c r="J385">
        <f>VLOOKUP(A385,[1]Datasheet_2!$A$2:$H$611,3,FALSE)</f>
        <v>0.1515</v>
      </c>
      <c r="K385" s="9">
        <f>VLOOKUP(A385,[1]Datasheet_2!$A$2:$H$611,4,FALSE)</f>
        <v>0.55000000000000004</v>
      </c>
      <c r="L385" s="8">
        <f>VLOOKUP(A385,[1]Datasheet_2!$A$2:$H$611,5,FALSE)</f>
        <v>0.19400000000000001</v>
      </c>
      <c r="M385" s="8">
        <f>VLOOKUP(A385,[1]Datasheet_2!$A$2:$H$611,6,FALSE)</f>
        <v>9</v>
      </c>
      <c r="N385" s="8">
        <f>VLOOKUP(A385,[1]Datasheet_2!$A$2:$H$611,7,FALSE)</f>
        <v>55</v>
      </c>
      <c r="O385" s="9">
        <f>VLOOKUP(A385,[1]Datasheet_2!$A$2:$H$611,8,FALSE)</f>
        <v>64</v>
      </c>
    </row>
    <row r="386" spans="1:15" x14ac:dyDescent="0.3">
      <c r="A386" s="4">
        <v>385</v>
      </c>
      <c r="B386" s="5">
        <v>40560</v>
      </c>
      <c r="C386" s="4">
        <v>1</v>
      </c>
      <c r="D386" s="4">
        <v>12</v>
      </c>
      <c r="E386" s="4" t="b">
        <v>1</v>
      </c>
      <c r="F386" s="4">
        <v>1</v>
      </c>
      <c r="G386" s="4">
        <v>2</v>
      </c>
      <c r="H386" s="4">
        <v>0.18</v>
      </c>
      <c r="I386">
        <f>VLOOKUP(A386,[1]Datasheet_2!$A$2:$H$611,2,FALSE)</f>
        <v>384</v>
      </c>
      <c r="J386">
        <f>VLOOKUP(A386,[1]Datasheet_2!$A$2:$H$611,3,FALSE)</f>
        <v>0.19700000000000001</v>
      </c>
      <c r="K386" s="9">
        <f>VLOOKUP(A386,[1]Datasheet_2!$A$2:$H$611,4,FALSE)</f>
        <v>0.47</v>
      </c>
      <c r="L386" s="8">
        <f>VLOOKUP(A386,[1]Datasheet_2!$A$2:$H$611,5,FALSE)</f>
        <v>0.1343</v>
      </c>
      <c r="M386" s="8">
        <f>VLOOKUP(A386,[1]Datasheet_2!$A$2:$H$611,6,FALSE)</f>
        <v>10</v>
      </c>
      <c r="N386" s="8">
        <f>VLOOKUP(A386,[1]Datasheet_2!$A$2:$H$611,7,FALSE)</f>
        <v>70</v>
      </c>
      <c r="O386" s="9">
        <f>VLOOKUP(A386,[1]Datasheet_2!$A$2:$H$611,8,FALSE)</f>
        <v>80</v>
      </c>
    </row>
    <row r="387" spans="1:15" x14ac:dyDescent="0.3">
      <c r="A387" s="4">
        <v>386</v>
      </c>
      <c r="B387" s="5">
        <v>40560</v>
      </c>
      <c r="C387" s="4">
        <v>1</v>
      </c>
      <c r="D387" s="4">
        <v>13</v>
      </c>
      <c r="E387" s="4" t="b">
        <v>1</v>
      </c>
      <c r="F387" s="4">
        <v>1</v>
      </c>
      <c r="G387" s="4">
        <v>2</v>
      </c>
      <c r="H387" s="4">
        <v>0.18</v>
      </c>
      <c r="I387">
        <f>VLOOKUP(A387,[1]Datasheet_2!$A$2:$H$611,2,FALSE)</f>
        <v>385</v>
      </c>
      <c r="J387">
        <f>VLOOKUP(A387,[1]Datasheet_2!$A$2:$H$611,3,FALSE)</f>
        <v>0.19700000000000001</v>
      </c>
      <c r="K387" s="9">
        <f>VLOOKUP(A387,[1]Datasheet_2!$A$2:$H$611,4,FALSE)</f>
        <v>0.47</v>
      </c>
      <c r="L387" s="8">
        <f>VLOOKUP(A387,[1]Datasheet_2!$A$2:$H$611,5,FALSE)</f>
        <v>0.1343</v>
      </c>
      <c r="M387" s="8">
        <f>VLOOKUP(A387,[1]Datasheet_2!$A$2:$H$611,6,FALSE)</f>
        <v>13</v>
      </c>
      <c r="N387" s="8">
        <f>VLOOKUP(A387,[1]Datasheet_2!$A$2:$H$611,7,FALSE)</f>
        <v>80</v>
      </c>
      <c r="O387" s="9">
        <f>VLOOKUP(A387,[1]Datasheet_2!$A$2:$H$611,8,FALSE)</f>
        <v>93</v>
      </c>
    </row>
    <row r="388" spans="1:15" x14ac:dyDescent="0.3">
      <c r="A388" s="4">
        <v>387</v>
      </c>
      <c r="B388" s="5">
        <v>40560</v>
      </c>
      <c r="C388" s="4">
        <v>1</v>
      </c>
      <c r="D388" s="4">
        <v>14</v>
      </c>
      <c r="E388" s="4" t="b">
        <v>1</v>
      </c>
      <c r="F388" s="4">
        <v>1</v>
      </c>
      <c r="G388" s="4">
        <v>2</v>
      </c>
      <c r="H388" s="4">
        <v>0.18</v>
      </c>
      <c r="I388">
        <f>VLOOKUP(A388,[1]Datasheet_2!$A$2:$H$611,2,FALSE)</f>
        <v>386</v>
      </c>
      <c r="J388">
        <f>VLOOKUP(A388,[1]Datasheet_2!$A$2:$H$611,3,FALSE)</f>
        <v>0.21210000000000001</v>
      </c>
      <c r="K388" s="9">
        <f>VLOOKUP(A388,[1]Datasheet_2!$A$2:$H$611,4,FALSE)</f>
        <v>0.43</v>
      </c>
      <c r="L388" s="8">
        <f>VLOOKUP(A388,[1]Datasheet_2!$A$2:$H$611,5,FALSE)</f>
        <v>0.1045</v>
      </c>
      <c r="M388" s="8">
        <f>VLOOKUP(A388,[1]Datasheet_2!$A$2:$H$611,6,FALSE)</f>
        <v>12</v>
      </c>
      <c r="N388" s="8">
        <f>VLOOKUP(A388,[1]Datasheet_2!$A$2:$H$611,7,FALSE)</f>
        <v>74</v>
      </c>
      <c r="O388" s="9">
        <f>VLOOKUP(A388,[1]Datasheet_2!$A$2:$H$611,8,FALSE)</f>
        <v>86</v>
      </c>
    </row>
    <row r="389" spans="1:15" x14ac:dyDescent="0.3">
      <c r="A389" s="4">
        <v>388</v>
      </c>
      <c r="B389" s="5">
        <v>40560</v>
      </c>
      <c r="C389" s="4">
        <v>1</v>
      </c>
      <c r="D389" s="4">
        <v>15</v>
      </c>
      <c r="E389" s="4" t="b">
        <v>1</v>
      </c>
      <c r="F389" s="4">
        <v>1</v>
      </c>
      <c r="G389" s="4">
        <v>2</v>
      </c>
      <c r="H389" s="4">
        <v>0.2</v>
      </c>
      <c r="I389">
        <f>VLOOKUP(A389,[1]Datasheet_2!$A$2:$H$611,2,FALSE)</f>
        <v>387</v>
      </c>
      <c r="J389">
        <f>VLOOKUP(A389,[1]Datasheet_2!$A$2:$H$611,3,FALSE)</f>
        <v>0.21210000000000001</v>
      </c>
      <c r="K389" s="9">
        <f>VLOOKUP(A389,[1]Datasheet_2!$A$2:$H$611,4,FALSE)</f>
        <v>0.47</v>
      </c>
      <c r="L389" s="8">
        <f>VLOOKUP(A389,[1]Datasheet_2!$A$2:$H$611,5,FALSE)</f>
        <v>0.16420000000000001</v>
      </c>
      <c r="M389" s="8">
        <f>VLOOKUP(A389,[1]Datasheet_2!$A$2:$H$611,6,FALSE)</f>
        <v>21</v>
      </c>
      <c r="N389" s="8">
        <f>VLOOKUP(A389,[1]Datasheet_2!$A$2:$H$611,7,FALSE)</f>
        <v>72</v>
      </c>
      <c r="O389" s="9">
        <f>VLOOKUP(A389,[1]Datasheet_2!$A$2:$H$611,8,FALSE)</f>
        <v>93</v>
      </c>
    </row>
    <row r="390" spans="1:15" x14ac:dyDescent="0.3">
      <c r="A390" s="4">
        <v>389</v>
      </c>
      <c r="B390" s="5">
        <v>40560</v>
      </c>
      <c r="C390" s="4">
        <v>1</v>
      </c>
      <c r="D390" s="4">
        <v>16</v>
      </c>
      <c r="E390" s="4" t="b">
        <v>1</v>
      </c>
      <c r="F390" s="4">
        <v>1</v>
      </c>
      <c r="G390" s="4">
        <v>2</v>
      </c>
      <c r="H390" s="4">
        <v>0.2</v>
      </c>
      <c r="I390">
        <f>VLOOKUP(A390,[1]Datasheet_2!$A$2:$H$611,2,FALSE)</f>
        <v>388</v>
      </c>
      <c r="J390">
        <f>VLOOKUP(A390,[1]Datasheet_2!$A$2:$H$611,3,FALSE)</f>
        <v>0.21210000000000001</v>
      </c>
      <c r="K390" s="9">
        <f>VLOOKUP(A390,[1]Datasheet_2!$A$2:$H$611,4,FALSE)</f>
        <v>0.47</v>
      </c>
      <c r="L390" s="8">
        <f>VLOOKUP(A390,[1]Datasheet_2!$A$2:$H$611,5,FALSE)</f>
        <v>0.16420000000000001</v>
      </c>
      <c r="M390" s="8">
        <f>VLOOKUP(A390,[1]Datasheet_2!$A$2:$H$611,6,FALSE)</f>
        <v>6</v>
      </c>
      <c r="N390" s="8">
        <f>VLOOKUP(A390,[1]Datasheet_2!$A$2:$H$611,7,FALSE)</f>
        <v>76</v>
      </c>
      <c r="O390" s="9">
        <f>VLOOKUP(A390,[1]Datasheet_2!$A$2:$H$611,8,FALSE)</f>
        <v>82</v>
      </c>
    </row>
    <row r="391" spans="1:15" x14ac:dyDescent="0.3">
      <c r="A391" s="4">
        <v>390</v>
      </c>
      <c r="B391" s="5">
        <v>40560</v>
      </c>
      <c r="C391" s="4">
        <v>1</v>
      </c>
      <c r="D391" s="4">
        <v>17</v>
      </c>
      <c r="E391" s="4" t="b">
        <v>1</v>
      </c>
      <c r="F391" s="4">
        <v>1</v>
      </c>
      <c r="G391" s="4">
        <v>1</v>
      </c>
      <c r="H391" s="4">
        <v>0.2</v>
      </c>
      <c r="I391">
        <f>VLOOKUP(A391,[1]Datasheet_2!$A$2:$H$611,2,FALSE)</f>
        <v>389</v>
      </c>
      <c r="J391">
        <f>VLOOKUP(A391,[1]Datasheet_2!$A$2:$H$611,3,FALSE)</f>
        <v>0.19700000000000001</v>
      </c>
      <c r="K391" s="9">
        <f>VLOOKUP(A391,[1]Datasheet_2!$A$2:$H$611,4,FALSE)</f>
        <v>0.51</v>
      </c>
      <c r="L391" s="8">
        <f>VLOOKUP(A391,[1]Datasheet_2!$A$2:$H$611,5,FALSE)</f>
        <v>0.19400000000000001</v>
      </c>
      <c r="M391" s="8">
        <f>VLOOKUP(A391,[1]Datasheet_2!$A$2:$H$611,6,FALSE)</f>
        <v>4</v>
      </c>
      <c r="N391" s="8">
        <f>VLOOKUP(A391,[1]Datasheet_2!$A$2:$H$611,7,FALSE)</f>
        <v>67</v>
      </c>
      <c r="O391" s="9">
        <f>VLOOKUP(A391,[1]Datasheet_2!$A$2:$H$611,8,FALSE)</f>
        <v>71</v>
      </c>
    </row>
    <row r="392" spans="1:15" x14ac:dyDescent="0.3">
      <c r="A392" s="4">
        <v>391</v>
      </c>
      <c r="B392" s="5">
        <v>40560</v>
      </c>
      <c r="C392" s="4">
        <v>1</v>
      </c>
      <c r="D392" s="4">
        <v>18</v>
      </c>
      <c r="E392" s="4" t="b">
        <v>1</v>
      </c>
      <c r="F392" s="4">
        <v>1</v>
      </c>
      <c r="G392" s="4">
        <v>2</v>
      </c>
      <c r="H392" s="4">
        <v>0.18</v>
      </c>
      <c r="I392">
        <f>VLOOKUP(A392,[1]Datasheet_2!$A$2:$H$611,2,FALSE)</f>
        <v>390</v>
      </c>
      <c r="J392">
        <f>VLOOKUP(A392,[1]Datasheet_2!$A$2:$H$611,3,FALSE)</f>
        <v>0.16669999999999999</v>
      </c>
      <c r="K392" s="9">
        <f>VLOOKUP(A392,[1]Datasheet_2!$A$2:$H$611,4,FALSE)</f>
        <v>0.55000000000000004</v>
      </c>
      <c r="L392" s="8">
        <f>VLOOKUP(A392,[1]Datasheet_2!$A$2:$H$611,5,FALSE)</f>
        <v>0.25369999999999998</v>
      </c>
      <c r="M392" s="8">
        <f>VLOOKUP(A392,[1]Datasheet_2!$A$2:$H$611,6,FALSE)</f>
        <v>7</v>
      </c>
      <c r="N392" s="8">
        <f>VLOOKUP(A392,[1]Datasheet_2!$A$2:$H$611,7,FALSE)</f>
        <v>85</v>
      </c>
      <c r="O392" s="9">
        <f>VLOOKUP(A392,[1]Datasheet_2!$A$2:$H$611,8,FALSE)</f>
        <v>92</v>
      </c>
    </row>
    <row r="393" spans="1:15" x14ac:dyDescent="0.3">
      <c r="A393" s="4">
        <v>392</v>
      </c>
      <c r="B393" s="5">
        <v>40560</v>
      </c>
      <c r="C393" s="4">
        <v>1</v>
      </c>
      <c r="D393" s="4">
        <v>19</v>
      </c>
      <c r="E393" s="4" t="b">
        <v>1</v>
      </c>
      <c r="F393" s="4">
        <v>1</v>
      </c>
      <c r="G393" s="4">
        <v>3</v>
      </c>
      <c r="H393" s="4">
        <v>0.18</v>
      </c>
      <c r="I393">
        <f>VLOOKUP(A393,[1]Datasheet_2!$A$2:$H$611,2,FALSE)</f>
        <v>391</v>
      </c>
      <c r="J393">
        <f>VLOOKUP(A393,[1]Datasheet_2!$A$2:$H$611,3,FALSE)</f>
        <v>0.18179999999999999</v>
      </c>
      <c r="K393" s="9">
        <f>VLOOKUP(A393,[1]Datasheet_2!$A$2:$H$611,4,FALSE)</f>
        <v>0.59</v>
      </c>
      <c r="L393" s="8">
        <f>VLOOKUP(A393,[1]Datasheet_2!$A$2:$H$611,5,FALSE)</f>
        <v>0.19400000000000001</v>
      </c>
      <c r="M393" s="8">
        <f>VLOOKUP(A393,[1]Datasheet_2!$A$2:$H$611,6,FALSE)</f>
        <v>2</v>
      </c>
      <c r="N393" s="8">
        <f>VLOOKUP(A393,[1]Datasheet_2!$A$2:$H$611,7,FALSE)</f>
        <v>58</v>
      </c>
      <c r="O393" s="9">
        <f>VLOOKUP(A393,[1]Datasheet_2!$A$2:$H$611,8,FALSE)</f>
        <v>60</v>
      </c>
    </row>
    <row r="394" spans="1:15" x14ac:dyDescent="0.3">
      <c r="A394" s="4">
        <v>393</v>
      </c>
      <c r="B394" s="5">
        <v>40560</v>
      </c>
      <c r="C394" s="4">
        <v>1</v>
      </c>
      <c r="D394" s="4">
        <v>20</v>
      </c>
      <c r="E394" s="4" t="b">
        <v>1</v>
      </c>
      <c r="F394" s="4">
        <v>1</v>
      </c>
      <c r="G394" s="4">
        <v>3</v>
      </c>
      <c r="H394" s="4">
        <v>0.16</v>
      </c>
      <c r="I394">
        <f>VLOOKUP(A394,[1]Datasheet_2!$A$2:$H$611,2,FALSE)</f>
        <v>392</v>
      </c>
      <c r="J394">
        <f>VLOOKUP(A394,[1]Datasheet_2!$A$2:$H$611,3,FALSE)</f>
        <v>0.1515</v>
      </c>
      <c r="K394" s="9">
        <f>VLOOKUP(A394,[1]Datasheet_2!$A$2:$H$611,4,FALSE)</f>
        <v>0.8</v>
      </c>
      <c r="L394" s="8">
        <f>VLOOKUP(A394,[1]Datasheet_2!$A$2:$H$611,5,FALSE)</f>
        <v>0.19400000000000001</v>
      </c>
      <c r="M394" s="8">
        <f>VLOOKUP(A394,[1]Datasheet_2!$A$2:$H$611,6,FALSE)</f>
        <v>4</v>
      </c>
      <c r="N394" s="8">
        <f>VLOOKUP(A394,[1]Datasheet_2!$A$2:$H$611,7,FALSE)</f>
        <v>29</v>
      </c>
      <c r="O394" s="9">
        <f>VLOOKUP(A394,[1]Datasheet_2!$A$2:$H$611,8,FALSE)</f>
        <v>33</v>
      </c>
    </row>
    <row r="395" spans="1:15" x14ac:dyDescent="0.3">
      <c r="A395" s="4">
        <v>394</v>
      </c>
      <c r="B395" s="5">
        <v>40560</v>
      </c>
      <c r="C395" s="4">
        <v>1</v>
      </c>
      <c r="D395" s="4">
        <v>21</v>
      </c>
      <c r="E395" s="4" t="b">
        <v>1</v>
      </c>
      <c r="F395" s="4">
        <v>1</v>
      </c>
      <c r="G395" s="4">
        <v>3</v>
      </c>
      <c r="H395" s="4">
        <v>0.16</v>
      </c>
      <c r="I395">
        <f>VLOOKUP(A395,[1]Datasheet_2!$A$2:$H$611,2,FALSE)</f>
        <v>393</v>
      </c>
      <c r="J395">
        <f>VLOOKUP(A395,[1]Datasheet_2!$A$2:$H$611,3,FALSE)</f>
        <v>0.1515</v>
      </c>
      <c r="K395" s="9">
        <f>VLOOKUP(A395,[1]Datasheet_2!$A$2:$H$611,4,FALSE)</f>
        <v>0.8</v>
      </c>
      <c r="L395" s="8">
        <f>VLOOKUP(A395,[1]Datasheet_2!$A$2:$H$611,5,FALSE)</f>
        <v>0.19400000000000001</v>
      </c>
      <c r="M395" s="8">
        <f>VLOOKUP(A395,[1]Datasheet_2!$A$2:$H$611,6,FALSE)</f>
        <v>3</v>
      </c>
      <c r="N395" s="8">
        <f>VLOOKUP(A395,[1]Datasheet_2!$A$2:$H$611,7,FALSE)</f>
        <v>24</v>
      </c>
      <c r="O395" s="9">
        <f>VLOOKUP(A395,[1]Datasheet_2!$A$2:$H$611,8,FALSE)</f>
        <v>27</v>
      </c>
    </row>
    <row r="396" spans="1:15" x14ac:dyDescent="0.3">
      <c r="A396" s="4">
        <v>395</v>
      </c>
      <c r="B396" s="5">
        <v>40560</v>
      </c>
      <c r="C396" s="4">
        <v>1</v>
      </c>
      <c r="D396" s="4">
        <v>22</v>
      </c>
      <c r="E396" s="4" t="b">
        <v>1</v>
      </c>
      <c r="F396" s="4">
        <v>1</v>
      </c>
      <c r="G396" s="4">
        <v>3</v>
      </c>
      <c r="H396" s="4">
        <v>0.14000000000000001</v>
      </c>
      <c r="I396">
        <f>VLOOKUP(A396,[1]Datasheet_2!$A$2:$H$611,2,FALSE)</f>
        <v>394</v>
      </c>
      <c r="J396">
        <f>VLOOKUP(A396,[1]Datasheet_2!$A$2:$H$611,3,FALSE)</f>
        <v>0.1212</v>
      </c>
      <c r="K396" s="9">
        <f>VLOOKUP(A396,[1]Datasheet_2!$A$2:$H$611,4,FALSE)</f>
        <v>0.93</v>
      </c>
      <c r="L396" s="8">
        <f>VLOOKUP(A396,[1]Datasheet_2!$A$2:$H$611,5,FALSE)</f>
        <v>0.25369999999999998</v>
      </c>
      <c r="M396" s="8">
        <f>VLOOKUP(A396,[1]Datasheet_2!$A$2:$H$611,6,FALSE)</f>
        <v>0</v>
      </c>
      <c r="N396" s="8">
        <f>VLOOKUP(A396,[1]Datasheet_2!$A$2:$H$611,7,FALSE)</f>
        <v>13</v>
      </c>
      <c r="O396" s="9">
        <f>VLOOKUP(A396,[1]Datasheet_2!$A$2:$H$611,8,FALSE)</f>
        <v>13</v>
      </c>
    </row>
    <row r="397" spans="1:15" x14ac:dyDescent="0.3">
      <c r="A397" s="4">
        <v>396</v>
      </c>
      <c r="B397" s="5">
        <v>40560</v>
      </c>
      <c r="C397" s="4">
        <v>1</v>
      </c>
      <c r="D397" s="4">
        <v>23</v>
      </c>
      <c r="E397" s="4" t="b">
        <v>1</v>
      </c>
      <c r="F397" s="4">
        <v>1</v>
      </c>
      <c r="G397" s="4">
        <v>3</v>
      </c>
      <c r="H397" s="4">
        <v>0.16</v>
      </c>
      <c r="I397">
        <f>VLOOKUP(A397,[1]Datasheet_2!$A$2:$H$611,2,FALSE)</f>
        <v>395</v>
      </c>
      <c r="J397">
        <f>VLOOKUP(A397,[1]Datasheet_2!$A$2:$H$611,3,FALSE)</f>
        <v>0.13639999999999999</v>
      </c>
      <c r="K397" s="9">
        <f>VLOOKUP(A397,[1]Datasheet_2!$A$2:$H$611,4,FALSE)</f>
        <v>0.86</v>
      </c>
      <c r="L397" s="8">
        <f>VLOOKUP(A397,[1]Datasheet_2!$A$2:$H$611,5,FALSE)</f>
        <v>0.28360000000000002</v>
      </c>
      <c r="M397" s="8">
        <f>VLOOKUP(A397,[1]Datasheet_2!$A$2:$H$611,6,FALSE)</f>
        <v>1</v>
      </c>
      <c r="N397" s="8">
        <f>VLOOKUP(A397,[1]Datasheet_2!$A$2:$H$611,7,FALSE)</f>
        <v>3</v>
      </c>
      <c r="O397" s="9">
        <f>VLOOKUP(A397,[1]Datasheet_2!$A$2:$H$611,8,FALSE)</f>
        <v>4</v>
      </c>
    </row>
    <row r="398" spans="1:15" x14ac:dyDescent="0.3">
      <c r="A398" s="4">
        <v>397</v>
      </c>
      <c r="B398" s="5">
        <v>40561</v>
      </c>
      <c r="C398" s="4">
        <v>1</v>
      </c>
      <c r="D398" s="4">
        <v>12</v>
      </c>
      <c r="E398" s="4" t="b">
        <v>0</v>
      </c>
      <c r="F398" s="4">
        <v>2</v>
      </c>
      <c r="G398" s="4">
        <v>2</v>
      </c>
      <c r="H398" s="4">
        <v>0.2</v>
      </c>
      <c r="I398">
        <f>VLOOKUP(A398,[1]Datasheet_2!$A$2:$H$611,2,FALSE)</f>
        <v>396</v>
      </c>
      <c r="J398">
        <f>VLOOKUP(A398,[1]Datasheet_2!$A$2:$H$611,3,FALSE)</f>
        <v>0.18179999999999999</v>
      </c>
      <c r="K398" s="9">
        <f>VLOOKUP(A398,[1]Datasheet_2!$A$2:$H$611,4,FALSE)</f>
        <v>0.86</v>
      </c>
      <c r="L398" s="8">
        <f>VLOOKUP(A398,[1]Datasheet_2!$A$2:$H$611,5,FALSE)</f>
        <v>0.32840000000000003</v>
      </c>
      <c r="M398" s="8">
        <f>VLOOKUP(A398,[1]Datasheet_2!$A$2:$H$611,6,FALSE)</f>
        <v>0</v>
      </c>
      <c r="N398" s="8">
        <f>VLOOKUP(A398,[1]Datasheet_2!$A$2:$H$611,7,FALSE)</f>
        <v>3</v>
      </c>
      <c r="O398" s="9">
        <f>VLOOKUP(A398,[1]Datasheet_2!$A$2:$H$611,8,FALSE)</f>
        <v>3</v>
      </c>
    </row>
    <row r="399" spans="1:15" x14ac:dyDescent="0.3">
      <c r="A399" s="4">
        <v>398</v>
      </c>
      <c r="B399" s="5">
        <v>40561</v>
      </c>
      <c r="C399" s="4">
        <v>1</v>
      </c>
      <c r="D399" s="4">
        <v>13</v>
      </c>
      <c r="E399" s="4" t="b">
        <v>0</v>
      </c>
      <c r="F399" s="4">
        <v>2</v>
      </c>
      <c r="G399" s="4">
        <v>2</v>
      </c>
      <c r="H399" s="4">
        <v>0.2</v>
      </c>
      <c r="I399">
        <f>VLOOKUP(A399,[1]Datasheet_2!$A$2:$H$611,2,FALSE)</f>
        <v>397</v>
      </c>
      <c r="J399">
        <f>VLOOKUP(A399,[1]Datasheet_2!$A$2:$H$611,3,FALSE)</f>
        <v>0.19700000000000001</v>
      </c>
      <c r="K399" s="9">
        <f>VLOOKUP(A399,[1]Datasheet_2!$A$2:$H$611,4,FALSE)</f>
        <v>0.86</v>
      </c>
      <c r="L399" s="8">
        <f>VLOOKUP(A399,[1]Datasheet_2!$A$2:$H$611,5,FALSE)</f>
        <v>0.22389999999999999</v>
      </c>
      <c r="M399" s="8">
        <f>VLOOKUP(A399,[1]Datasheet_2!$A$2:$H$611,6,FALSE)</f>
        <v>0</v>
      </c>
      <c r="N399" s="8">
        <f>VLOOKUP(A399,[1]Datasheet_2!$A$2:$H$611,7,FALSE)</f>
        <v>22</v>
      </c>
      <c r="O399" s="9">
        <f>VLOOKUP(A399,[1]Datasheet_2!$A$2:$H$611,8,FALSE)</f>
        <v>22</v>
      </c>
    </row>
    <row r="400" spans="1:15" x14ac:dyDescent="0.3">
      <c r="A400" s="4">
        <v>399</v>
      </c>
      <c r="B400" s="5">
        <v>40561</v>
      </c>
      <c r="C400" s="4">
        <v>1</v>
      </c>
      <c r="D400" s="4">
        <v>14</v>
      </c>
      <c r="E400" s="4" t="b">
        <v>0</v>
      </c>
      <c r="F400" s="4">
        <v>2</v>
      </c>
      <c r="G400" s="4">
        <v>2</v>
      </c>
      <c r="H400" s="4">
        <v>0.22</v>
      </c>
      <c r="I400">
        <f>VLOOKUP(A400,[1]Datasheet_2!$A$2:$H$611,2,FALSE)</f>
        <v>398</v>
      </c>
      <c r="J400">
        <f>VLOOKUP(A400,[1]Datasheet_2!$A$2:$H$611,3,FALSE)</f>
        <v>0.2273</v>
      </c>
      <c r="K400" s="9">
        <f>VLOOKUP(A400,[1]Datasheet_2!$A$2:$H$611,4,FALSE)</f>
        <v>0.8</v>
      </c>
      <c r="L400" s="8">
        <f>VLOOKUP(A400,[1]Datasheet_2!$A$2:$H$611,5,FALSE)</f>
        <v>0.16420000000000001</v>
      </c>
      <c r="M400" s="8">
        <f>VLOOKUP(A400,[1]Datasheet_2!$A$2:$H$611,6,FALSE)</f>
        <v>2</v>
      </c>
      <c r="N400" s="8">
        <f>VLOOKUP(A400,[1]Datasheet_2!$A$2:$H$611,7,FALSE)</f>
        <v>26</v>
      </c>
      <c r="O400" s="9">
        <f>VLOOKUP(A400,[1]Datasheet_2!$A$2:$H$611,8,FALSE)</f>
        <v>28</v>
      </c>
    </row>
    <row r="401" spans="1:15" x14ac:dyDescent="0.3">
      <c r="A401" s="4">
        <v>400</v>
      </c>
      <c r="B401" s="5">
        <v>40561</v>
      </c>
      <c r="C401" s="4">
        <v>1</v>
      </c>
      <c r="D401" s="4">
        <v>15</v>
      </c>
      <c r="E401" s="4" t="b">
        <v>0</v>
      </c>
      <c r="F401" s="4">
        <v>2</v>
      </c>
      <c r="G401" s="4">
        <v>2</v>
      </c>
      <c r="H401" s="4">
        <v>0.22</v>
      </c>
      <c r="I401">
        <f>VLOOKUP(A401,[1]Datasheet_2!$A$2:$H$611,2,FALSE)</f>
        <v>399</v>
      </c>
      <c r="J401">
        <f>VLOOKUP(A401,[1]Datasheet_2!$A$2:$H$611,3,FALSE)</f>
        <v>0.2273</v>
      </c>
      <c r="K401" s="9">
        <f>VLOOKUP(A401,[1]Datasheet_2!$A$2:$H$611,4,FALSE)</f>
        <v>0.87</v>
      </c>
      <c r="L401" s="8">
        <f>VLOOKUP(A401,[1]Datasheet_2!$A$2:$H$611,5,FALSE)</f>
        <v>0.16420000000000001</v>
      </c>
      <c r="M401" s="8">
        <f>VLOOKUP(A401,[1]Datasheet_2!$A$2:$H$611,6,FALSE)</f>
        <v>3</v>
      </c>
      <c r="N401" s="8">
        <f>VLOOKUP(A401,[1]Datasheet_2!$A$2:$H$611,7,FALSE)</f>
        <v>32</v>
      </c>
      <c r="O401" s="9">
        <f>VLOOKUP(A401,[1]Datasheet_2!$A$2:$H$611,8,FALSE)</f>
        <v>35</v>
      </c>
    </row>
    <row r="402" spans="1:15" x14ac:dyDescent="0.3">
      <c r="A402" s="4">
        <v>401</v>
      </c>
      <c r="B402" s="5">
        <v>40561</v>
      </c>
      <c r="C402" s="4">
        <v>1</v>
      </c>
      <c r="D402" s="4">
        <v>16</v>
      </c>
      <c r="E402" s="4" t="b">
        <v>0</v>
      </c>
      <c r="F402" s="4">
        <v>2</v>
      </c>
      <c r="G402" s="4">
        <v>2</v>
      </c>
      <c r="H402" s="4">
        <v>0.22</v>
      </c>
      <c r="I402">
        <f>VLOOKUP(A402,[1]Datasheet_2!$A$2:$H$611,2,FALSE)</f>
        <v>400</v>
      </c>
      <c r="J402">
        <f>VLOOKUP(A402,[1]Datasheet_2!$A$2:$H$611,3,FALSE)</f>
        <v>0.2273</v>
      </c>
      <c r="K402" s="9">
        <f>VLOOKUP(A402,[1]Datasheet_2!$A$2:$H$611,4,FALSE)</f>
        <v>0.87</v>
      </c>
      <c r="L402" s="8">
        <f>VLOOKUP(A402,[1]Datasheet_2!$A$2:$H$611,5,FALSE)</f>
        <v>0.19400000000000001</v>
      </c>
      <c r="M402" s="8">
        <f>VLOOKUP(A402,[1]Datasheet_2!$A$2:$H$611,6,FALSE)</f>
        <v>0</v>
      </c>
      <c r="N402" s="8">
        <f>VLOOKUP(A402,[1]Datasheet_2!$A$2:$H$611,7,FALSE)</f>
        <v>61</v>
      </c>
      <c r="O402" s="9">
        <f>VLOOKUP(A402,[1]Datasheet_2!$A$2:$H$611,8,FALSE)</f>
        <v>61</v>
      </c>
    </row>
    <row r="403" spans="1:15" x14ac:dyDescent="0.3">
      <c r="A403" s="4">
        <v>402</v>
      </c>
      <c r="B403" s="5">
        <v>40561</v>
      </c>
      <c r="C403" s="4">
        <v>1</v>
      </c>
      <c r="D403" s="4">
        <v>17</v>
      </c>
      <c r="E403" s="4" t="b">
        <v>0</v>
      </c>
      <c r="F403" s="4">
        <v>2</v>
      </c>
      <c r="G403" s="4">
        <v>2</v>
      </c>
      <c r="H403" s="4">
        <v>0.22</v>
      </c>
      <c r="I403">
        <f>VLOOKUP(A403,[1]Datasheet_2!$A$2:$H$611,2,FALSE)</f>
        <v>401</v>
      </c>
      <c r="J403">
        <f>VLOOKUP(A403,[1]Datasheet_2!$A$2:$H$611,3,FALSE)</f>
        <v>0.2273</v>
      </c>
      <c r="K403" s="9">
        <f>VLOOKUP(A403,[1]Datasheet_2!$A$2:$H$611,4,FALSE)</f>
        <v>0.82</v>
      </c>
      <c r="L403" s="8">
        <f>VLOOKUP(A403,[1]Datasheet_2!$A$2:$H$611,5,FALSE)</f>
        <v>0.19400000000000001</v>
      </c>
      <c r="M403" s="8">
        <f>VLOOKUP(A403,[1]Datasheet_2!$A$2:$H$611,6,FALSE)</f>
        <v>1</v>
      </c>
      <c r="N403" s="8">
        <f>VLOOKUP(A403,[1]Datasheet_2!$A$2:$H$611,7,FALSE)</f>
        <v>124</v>
      </c>
      <c r="O403" s="9">
        <f>VLOOKUP(A403,[1]Datasheet_2!$A$2:$H$611,8,FALSE)</f>
        <v>125</v>
      </c>
    </row>
    <row r="404" spans="1:15" x14ac:dyDescent="0.3">
      <c r="A404" s="4">
        <v>403</v>
      </c>
      <c r="B404" s="5">
        <v>40561</v>
      </c>
      <c r="C404" s="4">
        <v>1</v>
      </c>
      <c r="D404" s="4">
        <v>18</v>
      </c>
      <c r="E404" s="4" t="b">
        <v>0</v>
      </c>
      <c r="F404" s="4">
        <v>2</v>
      </c>
      <c r="G404" s="4">
        <v>2</v>
      </c>
      <c r="H404" s="4">
        <v>0.22</v>
      </c>
      <c r="I404">
        <f>VLOOKUP(A404,[1]Datasheet_2!$A$2:$H$611,2,FALSE)</f>
        <v>402</v>
      </c>
      <c r="J404">
        <f>VLOOKUP(A404,[1]Datasheet_2!$A$2:$H$611,3,FALSE)</f>
        <v>0.2273</v>
      </c>
      <c r="K404" s="9">
        <f>VLOOKUP(A404,[1]Datasheet_2!$A$2:$H$611,4,FALSE)</f>
        <v>0.8</v>
      </c>
      <c r="L404" s="8">
        <f>VLOOKUP(A404,[1]Datasheet_2!$A$2:$H$611,5,FALSE)</f>
        <v>0.16420000000000001</v>
      </c>
      <c r="M404" s="8">
        <f>VLOOKUP(A404,[1]Datasheet_2!$A$2:$H$611,6,FALSE)</f>
        <v>1</v>
      </c>
      <c r="N404" s="8">
        <f>VLOOKUP(A404,[1]Datasheet_2!$A$2:$H$611,7,FALSE)</f>
        <v>132</v>
      </c>
      <c r="O404" s="9">
        <f>VLOOKUP(A404,[1]Datasheet_2!$A$2:$H$611,8,FALSE)</f>
        <v>133</v>
      </c>
    </row>
    <row r="405" spans="1:15" x14ac:dyDescent="0.3">
      <c r="A405" s="4">
        <v>404</v>
      </c>
      <c r="B405" s="5">
        <v>40561</v>
      </c>
      <c r="C405" s="4">
        <v>1</v>
      </c>
      <c r="D405" s="4">
        <v>19</v>
      </c>
      <c r="E405" s="4" t="b">
        <v>0</v>
      </c>
      <c r="F405" s="4">
        <v>2</v>
      </c>
      <c r="G405" s="4">
        <v>2</v>
      </c>
      <c r="H405" s="4">
        <v>0.22</v>
      </c>
      <c r="I405">
        <f>VLOOKUP(A405,[1]Datasheet_2!$A$2:$H$611,2,FALSE)</f>
        <v>403</v>
      </c>
      <c r="J405">
        <f>VLOOKUP(A405,[1]Datasheet_2!$A$2:$H$611,3,FALSE)</f>
        <v>0.2273</v>
      </c>
      <c r="K405" s="9">
        <f>VLOOKUP(A405,[1]Datasheet_2!$A$2:$H$611,4,FALSE)</f>
        <v>0.8</v>
      </c>
      <c r="L405" s="8">
        <f>VLOOKUP(A405,[1]Datasheet_2!$A$2:$H$611,5,FALSE)</f>
        <v>0.1343</v>
      </c>
      <c r="M405" s="8">
        <f>VLOOKUP(A405,[1]Datasheet_2!$A$2:$H$611,6,FALSE)</f>
        <v>1</v>
      </c>
      <c r="N405" s="8">
        <f>VLOOKUP(A405,[1]Datasheet_2!$A$2:$H$611,7,FALSE)</f>
        <v>98</v>
      </c>
      <c r="O405" s="9">
        <f>VLOOKUP(A405,[1]Datasheet_2!$A$2:$H$611,8,FALSE)</f>
        <v>99</v>
      </c>
    </row>
    <row r="406" spans="1:15" x14ac:dyDescent="0.3">
      <c r="A406" s="4">
        <v>405</v>
      </c>
      <c r="B406" s="5">
        <v>40561</v>
      </c>
      <c r="C406" s="4">
        <v>1</v>
      </c>
      <c r="D406" s="4">
        <v>20</v>
      </c>
      <c r="E406" s="4" t="b">
        <v>0</v>
      </c>
      <c r="F406" s="4">
        <v>2</v>
      </c>
      <c r="G406" s="4">
        <v>2</v>
      </c>
      <c r="H406" s="4">
        <v>0.22</v>
      </c>
      <c r="I406">
        <f>VLOOKUP(A406,[1]Datasheet_2!$A$2:$H$611,2,FALSE)</f>
        <v>404</v>
      </c>
      <c r="J406">
        <f>VLOOKUP(A406,[1]Datasheet_2!$A$2:$H$611,3,FALSE)</f>
        <v>0.2727</v>
      </c>
      <c r="K406" s="9">
        <f>VLOOKUP(A406,[1]Datasheet_2!$A$2:$H$611,4,FALSE)</f>
        <v>0.87</v>
      </c>
      <c r="L406" s="8">
        <f>VLOOKUP(A406,[1]Datasheet_2!$A$2:$H$611,5,FALSE)</f>
        <v>0</v>
      </c>
      <c r="M406" s="8">
        <f>VLOOKUP(A406,[1]Datasheet_2!$A$2:$H$611,6,FALSE)</f>
        <v>0</v>
      </c>
      <c r="N406" s="8">
        <f>VLOOKUP(A406,[1]Datasheet_2!$A$2:$H$611,7,FALSE)</f>
        <v>83</v>
      </c>
      <c r="O406" s="9">
        <f>VLOOKUP(A406,[1]Datasheet_2!$A$2:$H$611,8,FALSE)</f>
        <v>83</v>
      </c>
    </row>
    <row r="407" spans="1:15" x14ac:dyDescent="0.3">
      <c r="A407" s="4">
        <v>406</v>
      </c>
      <c r="B407" s="5">
        <v>40561</v>
      </c>
      <c r="C407" s="4">
        <v>1</v>
      </c>
      <c r="D407" s="4">
        <v>21</v>
      </c>
      <c r="E407" s="4" t="b">
        <v>0</v>
      </c>
      <c r="F407" s="4">
        <v>2</v>
      </c>
      <c r="G407" s="4">
        <v>2</v>
      </c>
      <c r="H407" s="4">
        <v>0.22</v>
      </c>
      <c r="I407">
        <f>VLOOKUP(A407,[1]Datasheet_2!$A$2:$H$611,2,FALSE)</f>
        <v>405</v>
      </c>
      <c r="J407">
        <f>VLOOKUP(A407,[1]Datasheet_2!$A$2:$H$611,3,FALSE)</f>
        <v>0.2424</v>
      </c>
      <c r="K407" s="9">
        <f>VLOOKUP(A407,[1]Datasheet_2!$A$2:$H$611,4,FALSE)</f>
        <v>0.93</v>
      </c>
      <c r="L407" s="8">
        <f>VLOOKUP(A407,[1]Datasheet_2!$A$2:$H$611,5,FALSE)</f>
        <v>0.1045</v>
      </c>
      <c r="M407" s="8">
        <f>VLOOKUP(A407,[1]Datasheet_2!$A$2:$H$611,6,FALSE)</f>
        <v>0</v>
      </c>
      <c r="N407" s="8">
        <f>VLOOKUP(A407,[1]Datasheet_2!$A$2:$H$611,7,FALSE)</f>
        <v>41</v>
      </c>
      <c r="O407" s="9">
        <f>VLOOKUP(A407,[1]Datasheet_2!$A$2:$H$611,8,FALSE)</f>
        <v>41</v>
      </c>
    </row>
    <row r="408" spans="1:15" x14ac:dyDescent="0.3">
      <c r="A408" s="4">
        <v>407</v>
      </c>
      <c r="B408" s="5">
        <v>40561</v>
      </c>
      <c r="C408" s="4">
        <v>1</v>
      </c>
      <c r="D408" s="4">
        <v>22</v>
      </c>
      <c r="E408" s="4" t="b">
        <v>0</v>
      </c>
      <c r="F408" s="4">
        <v>2</v>
      </c>
      <c r="G408" s="4">
        <v>2</v>
      </c>
      <c r="H408" s="4">
        <v>0.22</v>
      </c>
      <c r="I408">
        <f>VLOOKUP(A408,[1]Datasheet_2!$A$2:$H$611,2,FALSE)</f>
        <v>406</v>
      </c>
      <c r="J408">
        <f>VLOOKUP(A408,[1]Datasheet_2!$A$2:$H$611,3,FALSE)</f>
        <v>0.2576</v>
      </c>
      <c r="K408" s="9">
        <f>VLOOKUP(A408,[1]Datasheet_2!$A$2:$H$611,4,FALSE)</f>
        <v>0.93</v>
      </c>
      <c r="L408" s="8">
        <f>VLOOKUP(A408,[1]Datasheet_2!$A$2:$H$611,5,FALSE)</f>
        <v>8.9599999999999999E-2</v>
      </c>
      <c r="M408" s="8">
        <f>VLOOKUP(A408,[1]Datasheet_2!$A$2:$H$611,6,FALSE)</f>
        <v>0</v>
      </c>
      <c r="N408" s="8">
        <f>VLOOKUP(A408,[1]Datasheet_2!$A$2:$H$611,7,FALSE)</f>
        <v>33</v>
      </c>
      <c r="O408" s="9">
        <f>VLOOKUP(A408,[1]Datasheet_2!$A$2:$H$611,8,FALSE)</f>
        <v>33</v>
      </c>
    </row>
    <row r="409" spans="1:15" x14ac:dyDescent="0.3">
      <c r="A409" s="4">
        <v>408</v>
      </c>
      <c r="B409" s="5">
        <v>40561</v>
      </c>
      <c r="C409" s="4">
        <v>1</v>
      </c>
      <c r="D409" s="4">
        <v>23</v>
      </c>
      <c r="E409" s="4" t="b">
        <v>0</v>
      </c>
      <c r="F409" s="4">
        <v>2</v>
      </c>
      <c r="G409" s="4">
        <v>2</v>
      </c>
      <c r="H409" s="4">
        <v>0.22</v>
      </c>
      <c r="I409">
        <f>VLOOKUP(A409,[1]Datasheet_2!$A$2:$H$611,2,FALSE)</f>
        <v>407</v>
      </c>
      <c r="J409">
        <f>VLOOKUP(A409,[1]Datasheet_2!$A$2:$H$611,3,FALSE)</f>
        <v>0.2727</v>
      </c>
      <c r="K409" s="9">
        <f>VLOOKUP(A409,[1]Datasheet_2!$A$2:$H$611,4,FALSE)</f>
        <v>0.93</v>
      </c>
      <c r="L409" s="8">
        <f>VLOOKUP(A409,[1]Datasheet_2!$A$2:$H$611,5,FALSE)</f>
        <v>0</v>
      </c>
      <c r="M409" s="8">
        <f>VLOOKUP(A409,[1]Datasheet_2!$A$2:$H$611,6,FALSE)</f>
        <v>1</v>
      </c>
      <c r="N409" s="8">
        <f>VLOOKUP(A409,[1]Datasheet_2!$A$2:$H$611,7,FALSE)</f>
        <v>19</v>
      </c>
      <c r="O409" s="9">
        <f>VLOOKUP(A409,[1]Datasheet_2!$A$2:$H$611,8,FALSE)</f>
        <v>20</v>
      </c>
    </row>
    <row r="410" spans="1:15" x14ac:dyDescent="0.3">
      <c r="A410" s="4">
        <v>409</v>
      </c>
      <c r="B410" s="5">
        <v>40562</v>
      </c>
      <c r="C410" s="4">
        <v>1</v>
      </c>
      <c r="D410" s="4">
        <v>0</v>
      </c>
      <c r="E410" s="4" t="b">
        <v>0</v>
      </c>
      <c r="F410" s="4">
        <v>3</v>
      </c>
      <c r="G410" s="4">
        <v>2</v>
      </c>
      <c r="H410" s="4">
        <v>0.22</v>
      </c>
      <c r="I410">
        <f>VLOOKUP(A410,[1]Datasheet_2!$A$2:$H$611,2,FALSE)</f>
        <v>408</v>
      </c>
      <c r="J410">
        <f>VLOOKUP(A410,[1]Datasheet_2!$A$2:$H$611,3,FALSE)</f>
        <v>0.2727</v>
      </c>
      <c r="K410" s="9">
        <f>VLOOKUP(A410,[1]Datasheet_2!$A$2:$H$611,4,FALSE)</f>
        <v>0.93</v>
      </c>
      <c r="L410" s="8">
        <f>VLOOKUP(A410,[1]Datasheet_2!$A$2:$H$611,5,FALSE)</f>
        <v>0</v>
      </c>
      <c r="M410" s="8">
        <f>VLOOKUP(A410,[1]Datasheet_2!$A$2:$H$611,6,FALSE)</f>
        <v>0</v>
      </c>
      <c r="N410" s="8">
        <f>VLOOKUP(A410,[1]Datasheet_2!$A$2:$H$611,7,FALSE)</f>
        <v>3</v>
      </c>
      <c r="O410" s="9">
        <f>VLOOKUP(A410,[1]Datasheet_2!$A$2:$H$611,8,FALSE)</f>
        <v>3</v>
      </c>
    </row>
    <row r="411" spans="1:15" x14ac:dyDescent="0.3">
      <c r="A411" s="4">
        <v>410</v>
      </c>
      <c r="B411" s="5">
        <v>40562</v>
      </c>
      <c r="C411" s="4">
        <v>1</v>
      </c>
      <c r="D411" s="4">
        <v>1</v>
      </c>
      <c r="E411" s="4" t="b">
        <v>0</v>
      </c>
      <c r="F411" s="4">
        <v>3</v>
      </c>
      <c r="G411" s="4">
        <v>3</v>
      </c>
      <c r="H411" s="4">
        <v>0.22</v>
      </c>
      <c r="I411">
        <f>VLOOKUP(A411,[1]Datasheet_2!$A$2:$H$611,2,FALSE)</f>
        <v>409</v>
      </c>
      <c r="J411">
        <f>VLOOKUP(A411,[1]Datasheet_2!$A$2:$H$611,3,FALSE)</f>
        <v>0.2273</v>
      </c>
      <c r="K411" s="9">
        <f>VLOOKUP(A411,[1]Datasheet_2!$A$2:$H$611,4,FALSE)</f>
        <v>0.93</v>
      </c>
      <c r="L411" s="8">
        <f>VLOOKUP(A411,[1]Datasheet_2!$A$2:$H$611,5,FALSE)</f>
        <v>0.1343</v>
      </c>
      <c r="M411" s="8">
        <f>VLOOKUP(A411,[1]Datasheet_2!$A$2:$H$611,6,FALSE)</f>
        <v>1</v>
      </c>
      <c r="N411" s="8">
        <f>VLOOKUP(A411,[1]Datasheet_2!$A$2:$H$611,7,FALSE)</f>
        <v>6</v>
      </c>
      <c r="O411" s="9">
        <f>VLOOKUP(A411,[1]Datasheet_2!$A$2:$H$611,8,FALSE)</f>
        <v>7</v>
      </c>
    </row>
    <row r="412" spans="1:15" x14ac:dyDescent="0.3">
      <c r="A412" s="4">
        <v>411</v>
      </c>
      <c r="B412" s="5">
        <v>40562</v>
      </c>
      <c r="C412" s="4">
        <v>1</v>
      </c>
      <c r="D412" s="4">
        <v>2</v>
      </c>
      <c r="E412" s="4" t="b">
        <v>0</v>
      </c>
      <c r="F412" s="4">
        <v>3</v>
      </c>
      <c r="G412" s="4">
        <v>3</v>
      </c>
      <c r="H412" s="4">
        <v>0.22</v>
      </c>
      <c r="I412">
        <f>VLOOKUP(A412,[1]Datasheet_2!$A$2:$H$611,2,FALSE)</f>
        <v>410</v>
      </c>
      <c r="J412">
        <f>VLOOKUP(A412,[1]Datasheet_2!$A$2:$H$611,3,FALSE)</f>
        <v>0.2273</v>
      </c>
      <c r="K412" s="9">
        <f>VLOOKUP(A412,[1]Datasheet_2!$A$2:$H$611,4,FALSE)</f>
        <v>0.93</v>
      </c>
      <c r="L412" s="8">
        <f>VLOOKUP(A412,[1]Datasheet_2!$A$2:$H$611,5,FALSE)</f>
        <v>0.1343</v>
      </c>
      <c r="M412" s="8">
        <f>VLOOKUP(A412,[1]Datasheet_2!$A$2:$H$611,6,FALSE)</f>
        <v>0</v>
      </c>
      <c r="N412" s="8">
        <f>VLOOKUP(A412,[1]Datasheet_2!$A$2:$H$611,7,FALSE)</f>
        <v>3</v>
      </c>
      <c r="O412" s="9">
        <f>VLOOKUP(A412,[1]Datasheet_2!$A$2:$H$611,8,FALSE)</f>
        <v>3</v>
      </c>
    </row>
    <row r="413" spans="1:15" x14ac:dyDescent="0.3">
      <c r="A413" s="4">
        <v>412</v>
      </c>
      <c r="B413" s="5">
        <v>40562</v>
      </c>
      <c r="C413" s="4">
        <v>1</v>
      </c>
      <c r="D413" s="4">
        <v>4</v>
      </c>
      <c r="E413" s="4" t="b">
        <v>0</v>
      </c>
      <c r="F413" s="4">
        <v>3</v>
      </c>
      <c r="G413" s="4">
        <v>3</v>
      </c>
      <c r="H413" s="4">
        <v>0.22</v>
      </c>
      <c r="I413">
        <f>VLOOKUP(A413,[1]Datasheet_2!$A$2:$H$611,2,FALSE)</f>
        <v>411</v>
      </c>
      <c r="J413">
        <f>VLOOKUP(A413,[1]Datasheet_2!$A$2:$H$611,3,FALSE)</f>
        <v>0.2273</v>
      </c>
      <c r="K413" s="9">
        <f>VLOOKUP(A413,[1]Datasheet_2!$A$2:$H$611,4,FALSE)</f>
        <v>0.93</v>
      </c>
      <c r="L413" s="8">
        <f>VLOOKUP(A413,[1]Datasheet_2!$A$2:$H$611,5,FALSE)</f>
        <v>0.1343</v>
      </c>
      <c r="M413" s="8">
        <f>VLOOKUP(A413,[1]Datasheet_2!$A$2:$H$611,6,FALSE)</f>
        <v>1</v>
      </c>
      <c r="N413" s="8">
        <f>VLOOKUP(A413,[1]Datasheet_2!$A$2:$H$611,7,FALSE)</f>
        <v>1</v>
      </c>
      <c r="O413" s="9">
        <f>VLOOKUP(A413,[1]Datasheet_2!$A$2:$H$611,8,FALSE)</f>
        <v>2</v>
      </c>
    </row>
    <row r="414" spans="1:15" x14ac:dyDescent="0.3">
      <c r="A414" s="4">
        <v>413</v>
      </c>
      <c r="B414" s="5">
        <v>40562</v>
      </c>
      <c r="C414" s="4">
        <v>1</v>
      </c>
      <c r="D414" s="4">
        <v>5</v>
      </c>
      <c r="E414" s="4" t="b">
        <v>0</v>
      </c>
      <c r="F414" s="4">
        <v>3</v>
      </c>
      <c r="G414" s="4">
        <v>2</v>
      </c>
      <c r="H414" s="4">
        <v>0.22</v>
      </c>
      <c r="I414">
        <f>VLOOKUP(A414,[1]Datasheet_2!$A$2:$H$611,2,FALSE)</f>
        <v>412</v>
      </c>
      <c r="J414">
        <f>VLOOKUP(A414,[1]Datasheet_2!$A$2:$H$611,3,FALSE)</f>
        <v>0.2576</v>
      </c>
      <c r="K414" s="9">
        <f>VLOOKUP(A414,[1]Datasheet_2!$A$2:$H$611,4,FALSE)</f>
        <v>0.93</v>
      </c>
      <c r="L414" s="8">
        <f>VLOOKUP(A414,[1]Datasheet_2!$A$2:$H$611,5,FALSE)</f>
        <v>8.9599999999999999E-2</v>
      </c>
      <c r="M414" s="8">
        <f>VLOOKUP(A414,[1]Datasheet_2!$A$2:$H$611,6,FALSE)</f>
        <v>0</v>
      </c>
      <c r="N414" s="8">
        <f>VLOOKUP(A414,[1]Datasheet_2!$A$2:$H$611,7,FALSE)</f>
        <v>7</v>
      </c>
      <c r="O414" s="9">
        <f>VLOOKUP(A414,[1]Datasheet_2!$A$2:$H$611,8,FALSE)</f>
        <v>7</v>
      </c>
    </row>
    <row r="415" spans="1:15" x14ac:dyDescent="0.3">
      <c r="A415" s="4">
        <v>414</v>
      </c>
      <c r="B415" s="5">
        <v>40562</v>
      </c>
      <c r="C415" s="4">
        <v>1</v>
      </c>
      <c r="D415" s="4">
        <v>6</v>
      </c>
      <c r="E415" s="4" t="b">
        <v>0</v>
      </c>
      <c r="F415" s="4">
        <v>3</v>
      </c>
      <c r="G415" s="4">
        <v>2</v>
      </c>
      <c r="H415" s="4">
        <v>0.22</v>
      </c>
      <c r="I415">
        <f>VLOOKUP(A415,[1]Datasheet_2!$A$2:$H$611,2,FALSE)</f>
        <v>413</v>
      </c>
      <c r="J415">
        <f>VLOOKUP(A415,[1]Datasheet_2!$A$2:$H$611,3,FALSE)</f>
        <v>0.2576</v>
      </c>
      <c r="K415" s="9">
        <f>VLOOKUP(A415,[1]Datasheet_2!$A$2:$H$611,4,FALSE)</f>
        <v>0.93</v>
      </c>
      <c r="L415" s="8">
        <f>VLOOKUP(A415,[1]Datasheet_2!$A$2:$H$611,5,FALSE)</f>
        <v>8.9599999999999999E-2</v>
      </c>
      <c r="M415" s="8">
        <f>VLOOKUP(A415,[1]Datasheet_2!$A$2:$H$611,6,FALSE)</f>
        <v>0</v>
      </c>
      <c r="N415" s="8">
        <f>VLOOKUP(A415,[1]Datasheet_2!$A$2:$H$611,7,FALSE)</f>
        <v>32</v>
      </c>
      <c r="O415" s="9">
        <f>VLOOKUP(A415,[1]Datasheet_2!$A$2:$H$611,8,FALSE)</f>
        <v>32</v>
      </c>
    </row>
    <row r="416" spans="1:15" x14ac:dyDescent="0.3">
      <c r="A416" s="4">
        <v>415</v>
      </c>
      <c r="B416" s="5">
        <v>40562</v>
      </c>
      <c r="C416" s="4">
        <v>1</v>
      </c>
      <c r="D416" s="4">
        <v>7</v>
      </c>
      <c r="E416" s="4" t="b">
        <v>0</v>
      </c>
      <c r="F416" s="4">
        <v>3</v>
      </c>
      <c r="G416" s="4">
        <v>2</v>
      </c>
      <c r="H416" s="4">
        <v>0.24</v>
      </c>
      <c r="I416">
        <f>VLOOKUP(A416,[1]Datasheet_2!$A$2:$H$611,2,FALSE)</f>
        <v>414</v>
      </c>
      <c r="J416">
        <f>VLOOKUP(A416,[1]Datasheet_2!$A$2:$H$611,3,FALSE)</f>
        <v>0.2576</v>
      </c>
      <c r="K416" s="9">
        <f>VLOOKUP(A416,[1]Datasheet_2!$A$2:$H$611,4,FALSE)</f>
        <v>0.92</v>
      </c>
      <c r="L416" s="8">
        <f>VLOOKUP(A416,[1]Datasheet_2!$A$2:$H$611,5,FALSE)</f>
        <v>0.1045</v>
      </c>
      <c r="M416" s="8">
        <f>VLOOKUP(A416,[1]Datasheet_2!$A$2:$H$611,6,FALSE)</f>
        <v>1</v>
      </c>
      <c r="N416" s="8">
        <f>VLOOKUP(A416,[1]Datasheet_2!$A$2:$H$611,7,FALSE)</f>
        <v>89</v>
      </c>
      <c r="O416" s="9">
        <f>VLOOKUP(A416,[1]Datasheet_2!$A$2:$H$611,8,FALSE)</f>
        <v>90</v>
      </c>
    </row>
    <row r="417" spans="1:15" x14ac:dyDescent="0.3">
      <c r="A417" s="4">
        <v>416</v>
      </c>
      <c r="B417" s="5">
        <v>40562</v>
      </c>
      <c r="C417" s="4">
        <v>1</v>
      </c>
      <c r="D417" s="4">
        <v>8</v>
      </c>
      <c r="E417" s="4" t="b">
        <v>0</v>
      </c>
      <c r="F417" s="4">
        <v>3</v>
      </c>
      <c r="G417" s="4">
        <v>2</v>
      </c>
      <c r="H417" s="4">
        <v>0.24</v>
      </c>
      <c r="I417">
        <f>VLOOKUP(A417,[1]Datasheet_2!$A$2:$H$611,2,FALSE)</f>
        <v>415</v>
      </c>
      <c r="J417">
        <f>VLOOKUP(A417,[1]Datasheet_2!$A$2:$H$611,3,FALSE)</f>
        <v>0.2576</v>
      </c>
      <c r="K417" s="9">
        <f>VLOOKUP(A417,[1]Datasheet_2!$A$2:$H$611,4,FALSE)</f>
        <v>0.93</v>
      </c>
      <c r="L417" s="8">
        <f>VLOOKUP(A417,[1]Datasheet_2!$A$2:$H$611,5,FALSE)</f>
        <v>0.1045</v>
      </c>
      <c r="M417" s="8">
        <f>VLOOKUP(A417,[1]Datasheet_2!$A$2:$H$611,6,FALSE)</f>
        <v>1</v>
      </c>
      <c r="N417" s="8">
        <f>VLOOKUP(A417,[1]Datasheet_2!$A$2:$H$611,7,FALSE)</f>
        <v>196</v>
      </c>
      <c r="O417" s="9">
        <f>VLOOKUP(A417,[1]Datasheet_2!$A$2:$H$611,8,FALSE)</f>
        <v>197</v>
      </c>
    </row>
    <row r="418" spans="1:15" x14ac:dyDescent="0.3">
      <c r="A418" s="4">
        <v>417</v>
      </c>
      <c r="B418" s="5">
        <v>40562</v>
      </c>
      <c r="C418" s="4">
        <v>1</v>
      </c>
      <c r="D418" s="4">
        <v>9</v>
      </c>
      <c r="E418" s="4" t="b">
        <v>0</v>
      </c>
      <c r="F418" s="4">
        <v>3</v>
      </c>
      <c r="G418" s="4">
        <v>2</v>
      </c>
      <c r="H418" s="4">
        <v>0.24</v>
      </c>
      <c r="I418">
        <f>VLOOKUP(A418,[1]Datasheet_2!$A$2:$H$611,2,FALSE)</f>
        <v>416</v>
      </c>
      <c r="J418">
        <f>VLOOKUP(A418,[1]Datasheet_2!$A$2:$H$611,3,FALSE)</f>
        <v>0.2576</v>
      </c>
      <c r="K418" s="9">
        <f>VLOOKUP(A418,[1]Datasheet_2!$A$2:$H$611,4,FALSE)</f>
        <v>0.93</v>
      </c>
      <c r="L418" s="8">
        <f>VLOOKUP(A418,[1]Datasheet_2!$A$2:$H$611,5,FALSE)</f>
        <v>0.1045</v>
      </c>
      <c r="M418" s="8">
        <f>VLOOKUP(A418,[1]Datasheet_2!$A$2:$H$611,6,FALSE)</f>
        <v>2</v>
      </c>
      <c r="N418" s="8">
        <f>VLOOKUP(A418,[1]Datasheet_2!$A$2:$H$611,7,FALSE)</f>
        <v>107</v>
      </c>
      <c r="O418" s="9">
        <f>VLOOKUP(A418,[1]Datasheet_2!$A$2:$H$611,8,FALSE)</f>
        <v>109</v>
      </c>
    </row>
    <row r="419" spans="1:15" x14ac:dyDescent="0.3">
      <c r="A419" s="4">
        <v>418</v>
      </c>
      <c r="B419" s="5">
        <v>40562</v>
      </c>
      <c r="C419" s="4">
        <v>1</v>
      </c>
      <c r="D419" s="4">
        <v>10</v>
      </c>
      <c r="E419" s="4" t="b">
        <v>0</v>
      </c>
      <c r="F419" s="4">
        <v>3</v>
      </c>
      <c r="G419" s="4">
        <v>2</v>
      </c>
      <c r="H419" s="4">
        <v>0.26</v>
      </c>
      <c r="I419">
        <f>VLOOKUP(A419,[1]Datasheet_2!$A$2:$H$611,2,FALSE)</f>
        <v>417</v>
      </c>
      <c r="J419">
        <f>VLOOKUP(A419,[1]Datasheet_2!$A$2:$H$611,3,FALSE)</f>
        <v>0.2727</v>
      </c>
      <c r="K419" s="9">
        <f>VLOOKUP(A419,[1]Datasheet_2!$A$2:$H$611,4,FALSE)</f>
        <v>0.93</v>
      </c>
      <c r="L419" s="8">
        <f>VLOOKUP(A419,[1]Datasheet_2!$A$2:$H$611,5,FALSE)</f>
        <v>0.1343</v>
      </c>
      <c r="M419" s="8">
        <f>VLOOKUP(A419,[1]Datasheet_2!$A$2:$H$611,6,FALSE)</f>
        <v>1</v>
      </c>
      <c r="N419" s="8">
        <f>VLOOKUP(A419,[1]Datasheet_2!$A$2:$H$611,7,FALSE)</f>
        <v>46</v>
      </c>
      <c r="O419" s="9">
        <f>VLOOKUP(A419,[1]Datasheet_2!$A$2:$H$611,8,FALSE)</f>
        <v>47</v>
      </c>
    </row>
    <row r="420" spans="1:15" x14ac:dyDescent="0.3">
      <c r="A420" s="4">
        <v>419</v>
      </c>
      <c r="B420" s="5">
        <v>40562</v>
      </c>
      <c r="C420" s="4">
        <v>1</v>
      </c>
      <c r="D420" s="4">
        <v>11</v>
      </c>
      <c r="E420" s="4" t="b">
        <v>0</v>
      </c>
      <c r="F420" s="4">
        <v>3</v>
      </c>
      <c r="G420" s="4">
        <v>2</v>
      </c>
      <c r="H420" s="4">
        <v>0.28000000000000003</v>
      </c>
      <c r="I420">
        <f>VLOOKUP(A420,[1]Datasheet_2!$A$2:$H$611,2,FALSE)</f>
        <v>418</v>
      </c>
      <c r="J420">
        <f>VLOOKUP(A420,[1]Datasheet_2!$A$2:$H$611,3,FALSE)</f>
        <v>0.30299999999999999</v>
      </c>
      <c r="K420" s="9">
        <f>VLOOKUP(A420,[1]Datasheet_2!$A$2:$H$611,4,FALSE)</f>
        <v>0.87</v>
      </c>
      <c r="L420" s="8">
        <f>VLOOKUP(A420,[1]Datasheet_2!$A$2:$H$611,5,FALSE)</f>
        <v>8.9599999999999999E-2</v>
      </c>
      <c r="M420" s="8">
        <f>VLOOKUP(A420,[1]Datasheet_2!$A$2:$H$611,6,FALSE)</f>
        <v>5</v>
      </c>
      <c r="N420" s="8">
        <f>VLOOKUP(A420,[1]Datasheet_2!$A$2:$H$611,7,FALSE)</f>
        <v>47</v>
      </c>
      <c r="O420" s="9">
        <f>VLOOKUP(A420,[1]Datasheet_2!$A$2:$H$611,8,FALSE)</f>
        <v>52</v>
      </c>
    </row>
    <row r="421" spans="1:15" x14ac:dyDescent="0.3">
      <c r="A421" s="4">
        <v>420</v>
      </c>
      <c r="B421" s="5">
        <v>40562</v>
      </c>
      <c r="C421" s="4">
        <v>1</v>
      </c>
      <c r="D421" s="4">
        <v>12</v>
      </c>
      <c r="E421" s="4" t="b">
        <v>0</v>
      </c>
      <c r="F421" s="4">
        <v>3</v>
      </c>
      <c r="G421" s="4">
        <v>2</v>
      </c>
      <c r="H421" s="4">
        <v>0.3</v>
      </c>
      <c r="I421">
        <f>VLOOKUP(A421,[1]Datasheet_2!$A$2:$H$611,2,FALSE)</f>
        <v>419</v>
      </c>
      <c r="J421">
        <f>VLOOKUP(A421,[1]Datasheet_2!$A$2:$H$611,3,FALSE)</f>
        <v>0.31819999999999998</v>
      </c>
      <c r="K421" s="9">
        <f>VLOOKUP(A421,[1]Datasheet_2!$A$2:$H$611,4,FALSE)</f>
        <v>0.81</v>
      </c>
      <c r="L421" s="8">
        <f>VLOOKUP(A421,[1]Datasheet_2!$A$2:$H$611,5,FALSE)</f>
        <v>8.9599999999999999E-2</v>
      </c>
      <c r="M421" s="8">
        <f>VLOOKUP(A421,[1]Datasheet_2!$A$2:$H$611,6,FALSE)</f>
        <v>5</v>
      </c>
      <c r="N421" s="8">
        <f>VLOOKUP(A421,[1]Datasheet_2!$A$2:$H$611,7,FALSE)</f>
        <v>65</v>
      </c>
      <c r="O421" s="9">
        <f>VLOOKUP(A421,[1]Datasheet_2!$A$2:$H$611,8,FALSE)</f>
        <v>70</v>
      </c>
    </row>
    <row r="422" spans="1:15" x14ac:dyDescent="0.3">
      <c r="A422" s="4">
        <v>421</v>
      </c>
      <c r="B422" s="5">
        <v>40562</v>
      </c>
      <c r="C422" s="4">
        <v>1</v>
      </c>
      <c r="D422" s="4">
        <v>13</v>
      </c>
      <c r="E422" s="4" t="b">
        <v>0</v>
      </c>
      <c r="F422" s="4">
        <v>3</v>
      </c>
      <c r="G422" s="4">
        <v>1</v>
      </c>
      <c r="H422" s="4">
        <v>0.4</v>
      </c>
      <c r="I422">
        <f>VLOOKUP(A422,[1]Datasheet_2!$A$2:$H$611,2,FALSE)</f>
        <v>420</v>
      </c>
      <c r="J422">
        <f>VLOOKUP(A422,[1]Datasheet_2!$A$2:$H$611,3,FALSE)</f>
        <v>0.40910000000000002</v>
      </c>
      <c r="K422" s="9">
        <f>VLOOKUP(A422,[1]Datasheet_2!$A$2:$H$611,4,FALSE)</f>
        <v>0.62</v>
      </c>
      <c r="L422" s="8">
        <f>VLOOKUP(A422,[1]Datasheet_2!$A$2:$H$611,5,FALSE)</f>
        <v>0.28360000000000002</v>
      </c>
      <c r="M422" s="8">
        <f>VLOOKUP(A422,[1]Datasheet_2!$A$2:$H$611,6,FALSE)</f>
        <v>11</v>
      </c>
      <c r="N422" s="8">
        <f>VLOOKUP(A422,[1]Datasheet_2!$A$2:$H$611,7,FALSE)</f>
        <v>67</v>
      </c>
      <c r="O422" s="9">
        <f>VLOOKUP(A422,[1]Datasheet_2!$A$2:$H$611,8,FALSE)</f>
        <v>78</v>
      </c>
    </row>
    <row r="423" spans="1:15" x14ac:dyDescent="0.3">
      <c r="A423" s="4">
        <v>422</v>
      </c>
      <c r="B423" s="5">
        <v>40562</v>
      </c>
      <c r="C423" s="4">
        <v>1</v>
      </c>
      <c r="D423" s="4">
        <v>14</v>
      </c>
      <c r="E423" s="4" t="b">
        <v>0</v>
      </c>
      <c r="F423" s="4">
        <v>3</v>
      </c>
      <c r="G423" s="4">
        <v>1</v>
      </c>
      <c r="H423" s="4">
        <v>0.4</v>
      </c>
      <c r="I423">
        <f>VLOOKUP(A423,[1]Datasheet_2!$A$2:$H$611,2,FALSE)</f>
        <v>421</v>
      </c>
      <c r="J423">
        <f>VLOOKUP(A423,[1]Datasheet_2!$A$2:$H$611,3,FALSE)</f>
        <v>0.40910000000000002</v>
      </c>
      <c r="K423" s="9">
        <f>VLOOKUP(A423,[1]Datasheet_2!$A$2:$H$611,4,FALSE)</f>
        <v>0.57999999999999996</v>
      </c>
      <c r="L423" s="8">
        <f>VLOOKUP(A423,[1]Datasheet_2!$A$2:$H$611,5,FALSE)</f>
        <v>0.25369999999999998</v>
      </c>
      <c r="M423" s="8">
        <f>VLOOKUP(A423,[1]Datasheet_2!$A$2:$H$611,6,FALSE)</f>
        <v>7</v>
      </c>
      <c r="N423" s="8">
        <f>VLOOKUP(A423,[1]Datasheet_2!$A$2:$H$611,7,FALSE)</f>
        <v>68</v>
      </c>
      <c r="O423" s="9">
        <f>VLOOKUP(A423,[1]Datasheet_2!$A$2:$H$611,8,FALSE)</f>
        <v>75</v>
      </c>
    </row>
    <row r="424" spans="1:15" x14ac:dyDescent="0.3">
      <c r="A424" s="4">
        <v>423</v>
      </c>
      <c r="B424" s="5">
        <v>40562</v>
      </c>
      <c r="C424" s="4">
        <v>1</v>
      </c>
      <c r="D424" s="4">
        <v>15</v>
      </c>
      <c r="E424" s="4" t="b">
        <v>0</v>
      </c>
      <c r="F424" s="4">
        <v>3</v>
      </c>
      <c r="G424" s="4">
        <v>1</v>
      </c>
      <c r="H424" s="4">
        <v>0.4</v>
      </c>
      <c r="I424">
        <f>VLOOKUP(A424,[1]Datasheet_2!$A$2:$H$611,2,FALSE)</f>
        <v>422</v>
      </c>
      <c r="J424">
        <f>VLOOKUP(A424,[1]Datasheet_2!$A$2:$H$611,3,FALSE)</f>
        <v>0.40910000000000002</v>
      </c>
      <c r="K424" s="9">
        <f>VLOOKUP(A424,[1]Datasheet_2!$A$2:$H$611,4,FALSE)</f>
        <v>0.54</v>
      </c>
      <c r="L424" s="8">
        <f>VLOOKUP(A424,[1]Datasheet_2!$A$2:$H$611,5,FALSE)</f>
        <v>0.28360000000000002</v>
      </c>
      <c r="M424" s="8">
        <f>VLOOKUP(A424,[1]Datasheet_2!$A$2:$H$611,6,FALSE)</f>
        <v>4</v>
      </c>
      <c r="N424" s="8">
        <f>VLOOKUP(A424,[1]Datasheet_2!$A$2:$H$611,7,FALSE)</f>
        <v>78</v>
      </c>
      <c r="O424" s="9">
        <f>VLOOKUP(A424,[1]Datasheet_2!$A$2:$H$611,8,FALSE)</f>
        <v>82</v>
      </c>
    </row>
    <row r="425" spans="1:15" x14ac:dyDescent="0.3">
      <c r="A425" s="4">
        <v>424</v>
      </c>
      <c r="B425" s="5">
        <v>40562</v>
      </c>
      <c r="C425" s="4">
        <v>1</v>
      </c>
      <c r="D425" s="4">
        <v>16</v>
      </c>
      <c r="E425" s="4" t="b">
        <v>0</v>
      </c>
      <c r="F425" s="4">
        <v>3</v>
      </c>
      <c r="G425" s="4">
        <v>1</v>
      </c>
      <c r="H425" s="4">
        <v>0.38</v>
      </c>
      <c r="I425">
        <f>VLOOKUP(A425,[1]Datasheet_2!$A$2:$H$611,2,FALSE)</f>
        <v>423</v>
      </c>
      <c r="J425">
        <f>VLOOKUP(A425,[1]Datasheet_2!$A$2:$H$611,3,FALSE)</f>
        <v>0.39389999999999997</v>
      </c>
      <c r="K425" s="9">
        <f>VLOOKUP(A425,[1]Datasheet_2!$A$2:$H$611,4,FALSE)</f>
        <v>0.57999999999999996</v>
      </c>
      <c r="L425" s="8">
        <f>VLOOKUP(A425,[1]Datasheet_2!$A$2:$H$611,5,FALSE)</f>
        <v>0.3881</v>
      </c>
      <c r="M425" s="8">
        <f>VLOOKUP(A425,[1]Datasheet_2!$A$2:$H$611,6,FALSE)</f>
        <v>10</v>
      </c>
      <c r="N425" s="8">
        <f>VLOOKUP(A425,[1]Datasheet_2!$A$2:$H$611,7,FALSE)</f>
        <v>94</v>
      </c>
      <c r="O425" s="9">
        <f>VLOOKUP(A425,[1]Datasheet_2!$A$2:$H$611,8,FALSE)</f>
        <v>104</v>
      </c>
    </row>
    <row r="426" spans="1:15" x14ac:dyDescent="0.3">
      <c r="A426" s="4">
        <v>425</v>
      </c>
      <c r="B426" s="5">
        <v>40562</v>
      </c>
      <c r="C426" s="4">
        <v>1</v>
      </c>
      <c r="D426" s="4">
        <v>17</v>
      </c>
      <c r="E426" s="4" t="b">
        <v>0</v>
      </c>
      <c r="F426" s="4">
        <v>3</v>
      </c>
      <c r="G426" s="4">
        <v>1</v>
      </c>
      <c r="H426" s="4">
        <v>0.36</v>
      </c>
      <c r="I426">
        <f>VLOOKUP(A426,[1]Datasheet_2!$A$2:$H$611,2,FALSE)</f>
        <v>424</v>
      </c>
      <c r="J426">
        <f>VLOOKUP(A426,[1]Datasheet_2!$A$2:$H$611,3,FALSE)</f>
        <v>0.33329999999999999</v>
      </c>
      <c r="K426" s="9">
        <f>VLOOKUP(A426,[1]Datasheet_2!$A$2:$H$611,4,FALSE)</f>
        <v>0.56999999999999995</v>
      </c>
      <c r="L426" s="8">
        <f>VLOOKUP(A426,[1]Datasheet_2!$A$2:$H$611,5,FALSE)</f>
        <v>0.32840000000000003</v>
      </c>
      <c r="M426" s="8">
        <f>VLOOKUP(A426,[1]Datasheet_2!$A$2:$H$611,6,FALSE)</f>
        <v>7</v>
      </c>
      <c r="N426" s="8">
        <f>VLOOKUP(A426,[1]Datasheet_2!$A$2:$H$611,7,FALSE)</f>
        <v>190</v>
      </c>
      <c r="O426" s="9">
        <f>VLOOKUP(A426,[1]Datasheet_2!$A$2:$H$611,8,FALSE)</f>
        <v>197</v>
      </c>
    </row>
    <row r="427" spans="1:15" x14ac:dyDescent="0.3">
      <c r="A427" s="4">
        <v>426</v>
      </c>
      <c r="B427" s="5">
        <v>40562</v>
      </c>
      <c r="C427" s="4">
        <v>1</v>
      </c>
      <c r="D427" s="4">
        <v>18</v>
      </c>
      <c r="E427" s="4" t="b">
        <v>0</v>
      </c>
      <c r="F427" s="4">
        <v>3</v>
      </c>
      <c r="G427" s="4">
        <v>1</v>
      </c>
      <c r="H427" s="4">
        <v>0.34</v>
      </c>
      <c r="I427">
        <f>VLOOKUP(A427,[1]Datasheet_2!$A$2:$H$611,2,FALSE)</f>
        <v>425</v>
      </c>
      <c r="J427">
        <f>VLOOKUP(A427,[1]Datasheet_2!$A$2:$H$611,3,FALSE)</f>
        <v>0.31819999999999998</v>
      </c>
      <c r="K427" s="9">
        <f>VLOOKUP(A427,[1]Datasheet_2!$A$2:$H$611,4,FALSE)</f>
        <v>0.61</v>
      </c>
      <c r="L427" s="8">
        <f>VLOOKUP(A427,[1]Datasheet_2!$A$2:$H$611,5,FALSE)</f>
        <v>0.28360000000000002</v>
      </c>
      <c r="M427" s="8">
        <f>VLOOKUP(A427,[1]Datasheet_2!$A$2:$H$611,6,FALSE)</f>
        <v>5</v>
      </c>
      <c r="N427" s="8">
        <f>VLOOKUP(A427,[1]Datasheet_2!$A$2:$H$611,7,FALSE)</f>
        <v>156</v>
      </c>
      <c r="O427" s="9">
        <f>VLOOKUP(A427,[1]Datasheet_2!$A$2:$H$611,8,FALSE)</f>
        <v>161</v>
      </c>
    </row>
    <row r="428" spans="1:15" x14ac:dyDescent="0.3">
      <c r="A428" s="4">
        <v>427</v>
      </c>
      <c r="B428" s="5">
        <v>40562</v>
      </c>
      <c r="C428" s="4">
        <v>1</v>
      </c>
      <c r="D428" s="4">
        <v>19</v>
      </c>
      <c r="E428" s="4" t="b">
        <v>0</v>
      </c>
      <c r="F428" s="4">
        <v>3</v>
      </c>
      <c r="G428" s="4">
        <v>1</v>
      </c>
      <c r="H428" s="4">
        <v>0.32</v>
      </c>
      <c r="I428">
        <f>VLOOKUP(A428,[1]Datasheet_2!$A$2:$H$611,2,FALSE)</f>
        <v>426</v>
      </c>
      <c r="J428">
        <f>VLOOKUP(A428,[1]Datasheet_2!$A$2:$H$611,3,FALSE)</f>
        <v>0.28789999999999999</v>
      </c>
      <c r="K428" s="9">
        <f>VLOOKUP(A428,[1]Datasheet_2!$A$2:$H$611,4,FALSE)</f>
        <v>0.56999999999999995</v>
      </c>
      <c r="L428" s="8">
        <f>VLOOKUP(A428,[1]Datasheet_2!$A$2:$H$611,5,FALSE)</f>
        <v>0.41789999999999999</v>
      </c>
      <c r="M428" s="8">
        <f>VLOOKUP(A428,[1]Datasheet_2!$A$2:$H$611,6,FALSE)</f>
        <v>4</v>
      </c>
      <c r="N428" s="8">
        <f>VLOOKUP(A428,[1]Datasheet_2!$A$2:$H$611,7,FALSE)</f>
        <v>108</v>
      </c>
      <c r="O428" s="9">
        <f>VLOOKUP(A428,[1]Datasheet_2!$A$2:$H$611,8,FALSE)</f>
        <v>112</v>
      </c>
    </row>
    <row r="429" spans="1:15" x14ac:dyDescent="0.3">
      <c r="A429" s="4">
        <v>428</v>
      </c>
      <c r="B429" s="5">
        <v>40562</v>
      </c>
      <c r="C429" s="4">
        <v>1</v>
      </c>
      <c r="D429" s="4">
        <v>20</v>
      </c>
      <c r="E429" s="4" t="b">
        <v>0</v>
      </c>
      <c r="F429" s="4">
        <v>3</v>
      </c>
      <c r="G429" s="4">
        <v>1</v>
      </c>
      <c r="H429" s="4">
        <v>0.32</v>
      </c>
      <c r="I429">
        <f>VLOOKUP(A429,[1]Datasheet_2!$A$2:$H$611,2,FALSE)</f>
        <v>427</v>
      </c>
      <c r="J429">
        <f>VLOOKUP(A429,[1]Datasheet_2!$A$2:$H$611,3,FALSE)</f>
        <v>0.30299999999999999</v>
      </c>
      <c r="K429" s="9">
        <f>VLOOKUP(A429,[1]Datasheet_2!$A$2:$H$611,4,FALSE)</f>
        <v>0.49</v>
      </c>
      <c r="L429" s="8">
        <f>VLOOKUP(A429,[1]Datasheet_2!$A$2:$H$611,5,FALSE)</f>
        <v>0.29849999999999999</v>
      </c>
      <c r="M429" s="8">
        <f>VLOOKUP(A429,[1]Datasheet_2!$A$2:$H$611,6,FALSE)</f>
        <v>2</v>
      </c>
      <c r="N429" s="8">
        <f>VLOOKUP(A429,[1]Datasheet_2!$A$2:$H$611,7,FALSE)</f>
        <v>74</v>
      </c>
      <c r="O429" s="9">
        <f>VLOOKUP(A429,[1]Datasheet_2!$A$2:$H$611,8,FALSE)</f>
        <v>76</v>
      </c>
    </row>
    <row r="430" spans="1:15" x14ac:dyDescent="0.3">
      <c r="A430" s="4">
        <v>429</v>
      </c>
      <c r="B430" s="5">
        <v>40562</v>
      </c>
      <c r="C430" s="4">
        <v>1</v>
      </c>
      <c r="D430" s="4">
        <v>21</v>
      </c>
      <c r="E430" s="4" t="b">
        <v>0</v>
      </c>
      <c r="F430" s="4">
        <v>3</v>
      </c>
      <c r="G430" s="4">
        <v>1</v>
      </c>
      <c r="H430" s="4">
        <v>0.32</v>
      </c>
      <c r="I430">
        <f>VLOOKUP(A430,[1]Datasheet_2!$A$2:$H$611,2,FALSE)</f>
        <v>428</v>
      </c>
      <c r="J430">
        <f>VLOOKUP(A430,[1]Datasheet_2!$A$2:$H$611,3,FALSE)</f>
        <v>0.28789999999999999</v>
      </c>
      <c r="K430" s="9">
        <f>VLOOKUP(A430,[1]Datasheet_2!$A$2:$H$611,4,FALSE)</f>
        <v>0.49</v>
      </c>
      <c r="L430" s="8">
        <f>VLOOKUP(A430,[1]Datasheet_2!$A$2:$H$611,5,FALSE)</f>
        <v>0.41789999999999999</v>
      </c>
      <c r="M430" s="8">
        <f>VLOOKUP(A430,[1]Datasheet_2!$A$2:$H$611,6,FALSE)</f>
        <v>4</v>
      </c>
      <c r="N430" s="8">
        <f>VLOOKUP(A430,[1]Datasheet_2!$A$2:$H$611,7,FALSE)</f>
        <v>55</v>
      </c>
      <c r="O430" s="9">
        <f>VLOOKUP(A430,[1]Datasheet_2!$A$2:$H$611,8,FALSE)</f>
        <v>59</v>
      </c>
    </row>
    <row r="431" spans="1:15" x14ac:dyDescent="0.3">
      <c r="A431" s="4">
        <v>430</v>
      </c>
      <c r="B431" s="5">
        <v>40562</v>
      </c>
      <c r="C431" s="4">
        <v>1</v>
      </c>
      <c r="D431" s="4">
        <v>22</v>
      </c>
      <c r="E431" s="4" t="b">
        <v>0</v>
      </c>
      <c r="F431" s="4">
        <v>3</v>
      </c>
      <c r="G431" s="4">
        <v>1</v>
      </c>
      <c r="H431" s="4">
        <v>0.3</v>
      </c>
      <c r="I431">
        <f>VLOOKUP(A431,[1]Datasheet_2!$A$2:$H$611,2,FALSE)</f>
        <v>429</v>
      </c>
      <c r="J431">
        <f>VLOOKUP(A431,[1]Datasheet_2!$A$2:$H$611,3,FALSE)</f>
        <v>0.30299999999999999</v>
      </c>
      <c r="K431" s="9">
        <f>VLOOKUP(A431,[1]Datasheet_2!$A$2:$H$611,4,FALSE)</f>
        <v>0.52</v>
      </c>
      <c r="L431" s="8">
        <f>VLOOKUP(A431,[1]Datasheet_2!$A$2:$H$611,5,FALSE)</f>
        <v>0.16420000000000001</v>
      </c>
      <c r="M431" s="8">
        <f>VLOOKUP(A431,[1]Datasheet_2!$A$2:$H$611,6,FALSE)</f>
        <v>6</v>
      </c>
      <c r="N431" s="8">
        <f>VLOOKUP(A431,[1]Datasheet_2!$A$2:$H$611,7,FALSE)</f>
        <v>53</v>
      </c>
      <c r="O431" s="9">
        <f>VLOOKUP(A431,[1]Datasheet_2!$A$2:$H$611,8,FALSE)</f>
        <v>59</v>
      </c>
    </row>
    <row r="432" spans="1:15" x14ac:dyDescent="0.3">
      <c r="A432" s="4">
        <v>431</v>
      </c>
      <c r="B432" s="5">
        <v>40562</v>
      </c>
      <c r="C432" s="4">
        <v>1</v>
      </c>
      <c r="D432" s="4">
        <v>23</v>
      </c>
      <c r="E432" s="4" t="b">
        <v>0</v>
      </c>
      <c r="F432" s="4">
        <v>3</v>
      </c>
      <c r="G432" s="4">
        <v>1</v>
      </c>
      <c r="H432" s="4">
        <v>0.3</v>
      </c>
      <c r="I432">
        <f>VLOOKUP(A432,[1]Datasheet_2!$A$2:$H$611,2,FALSE)</f>
        <v>430</v>
      </c>
      <c r="J432">
        <f>VLOOKUP(A432,[1]Datasheet_2!$A$2:$H$611,3,FALSE)</f>
        <v>0.2727</v>
      </c>
      <c r="K432" s="9">
        <f>VLOOKUP(A432,[1]Datasheet_2!$A$2:$H$611,4,FALSE)</f>
        <v>0.52</v>
      </c>
      <c r="L432" s="8">
        <f>VLOOKUP(A432,[1]Datasheet_2!$A$2:$H$611,5,FALSE)</f>
        <v>0.4627</v>
      </c>
      <c r="M432" s="8">
        <f>VLOOKUP(A432,[1]Datasheet_2!$A$2:$H$611,6,FALSE)</f>
        <v>1</v>
      </c>
      <c r="N432" s="8">
        <f>VLOOKUP(A432,[1]Datasheet_2!$A$2:$H$611,7,FALSE)</f>
        <v>27</v>
      </c>
      <c r="O432" s="9">
        <f>VLOOKUP(A432,[1]Datasheet_2!$A$2:$H$611,8,FALSE)</f>
        <v>28</v>
      </c>
    </row>
    <row r="433" spans="1:15" x14ac:dyDescent="0.3">
      <c r="A433" s="4">
        <v>432</v>
      </c>
      <c r="B433" s="5">
        <v>40563</v>
      </c>
      <c r="C433" s="4">
        <v>1</v>
      </c>
      <c r="D433" s="4">
        <v>0</v>
      </c>
      <c r="E433" s="4" t="b">
        <v>0</v>
      </c>
      <c r="F433" s="4">
        <v>4</v>
      </c>
      <c r="G433" s="4">
        <v>1</v>
      </c>
      <c r="H433" s="4">
        <v>0.26</v>
      </c>
      <c r="I433">
        <f>VLOOKUP(A433,[1]Datasheet_2!$A$2:$H$611,2,FALSE)</f>
        <v>431</v>
      </c>
      <c r="J433">
        <f>VLOOKUP(A433,[1]Datasheet_2!$A$2:$H$611,3,FALSE)</f>
        <v>0.2273</v>
      </c>
      <c r="K433" s="9">
        <f>VLOOKUP(A433,[1]Datasheet_2!$A$2:$H$611,4,FALSE)</f>
        <v>0.56000000000000005</v>
      </c>
      <c r="L433" s="8">
        <f>VLOOKUP(A433,[1]Datasheet_2!$A$2:$H$611,5,FALSE)</f>
        <v>0.3881</v>
      </c>
      <c r="M433" s="8">
        <f>VLOOKUP(A433,[1]Datasheet_2!$A$2:$H$611,6,FALSE)</f>
        <v>5</v>
      </c>
      <c r="N433" s="8">
        <f>VLOOKUP(A433,[1]Datasheet_2!$A$2:$H$611,7,FALSE)</f>
        <v>8</v>
      </c>
      <c r="O433" s="9">
        <f>VLOOKUP(A433,[1]Datasheet_2!$A$2:$H$611,8,FALSE)</f>
        <v>13</v>
      </c>
    </row>
    <row r="434" spans="1:15" x14ac:dyDescent="0.3">
      <c r="A434" s="4">
        <v>433</v>
      </c>
      <c r="B434" s="5">
        <v>40563</v>
      </c>
      <c r="C434" s="4">
        <v>1</v>
      </c>
      <c r="D434" s="4">
        <v>1</v>
      </c>
      <c r="E434" s="4" t="b">
        <v>0</v>
      </c>
      <c r="F434" s="4">
        <v>4</v>
      </c>
      <c r="G434" s="4">
        <v>1</v>
      </c>
      <c r="H434" s="4">
        <v>0.26</v>
      </c>
      <c r="I434">
        <f>VLOOKUP(A434,[1]Datasheet_2!$A$2:$H$611,2,FALSE)</f>
        <v>432</v>
      </c>
      <c r="J434">
        <f>VLOOKUP(A434,[1]Datasheet_2!$A$2:$H$611,3,FALSE)</f>
        <v>0.2727</v>
      </c>
      <c r="K434" s="9">
        <f>VLOOKUP(A434,[1]Datasheet_2!$A$2:$H$611,4,FALSE)</f>
        <v>0.56000000000000005</v>
      </c>
      <c r="L434" s="8">
        <f>VLOOKUP(A434,[1]Datasheet_2!$A$2:$H$611,5,FALSE)</f>
        <v>0</v>
      </c>
      <c r="M434" s="8">
        <f>VLOOKUP(A434,[1]Datasheet_2!$A$2:$H$611,6,FALSE)</f>
        <v>2</v>
      </c>
      <c r="N434" s="8">
        <f>VLOOKUP(A434,[1]Datasheet_2!$A$2:$H$611,7,FALSE)</f>
        <v>3</v>
      </c>
      <c r="O434" s="9">
        <f>VLOOKUP(A434,[1]Datasheet_2!$A$2:$H$611,8,FALSE)</f>
        <v>5</v>
      </c>
    </row>
    <row r="435" spans="1:15" x14ac:dyDescent="0.3">
      <c r="A435" s="4">
        <v>434</v>
      </c>
      <c r="B435" s="5">
        <v>40563</v>
      </c>
      <c r="C435" s="4">
        <v>1</v>
      </c>
      <c r="D435" s="4">
        <v>2</v>
      </c>
      <c r="E435" s="4" t="b">
        <v>0</v>
      </c>
      <c r="F435" s="4">
        <v>4</v>
      </c>
      <c r="G435" s="4">
        <v>1</v>
      </c>
      <c r="H435" s="4">
        <v>0.26</v>
      </c>
      <c r="I435">
        <f>VLOOKUP(A435,[1]Datasheet_2!$A$2:$H$611,2,FALSE)</f>
        <v>433</v>
      </c>
      <c r="J435">
        <f>VLOOKUP(A435,[1]Datasheet_2!$A$2:$H$611,3,FALSE)</f>
        <v>0.2727</v>
      </c>
      <c r="K435" s="9">
        <f>VLOOKUP(A435,[1]Datasheet_2!$A$2:$H$611,4,FALSE)</f>
        <v>0.56000000000000005</v>
      </c>
      <c r="L435" s="8">
        <f>VLOOKUP(A435,[1]Datasheet_2!$A$2:$H$611,5,FALSE)</f>
        <v>0</v>
      </c>
      <c r="M435" s="8">
        <f>VLOOKUP(A435,[1]Datasheet_2!$A$2:$H$611,6,FALSE)</f>
        <v>0</v>
      </c>
      <c r="N435" s="8">
        <f>VLOOKUP(A435,[1]Datasheet_2!$A$2:$H$611,7,FALSE)</f>
        <v>2</v>
      </c>
      <c r="O435" s="9">
        <f>VLOOKUP(A435,[1]Datasheet_2!$A$2:$H$611,8,FALSE)</f>
        <v>2</v>
      </c>
    </row>
    <row r="436" spans="1:15" x14ac:dyDescent="0.3">
      <c r="A436" s="4">
        <v>435</v>
      </c>
      <c r="B436" s="5">
        <v>40563</v>
      </c>
      <c r="C436" s="4">
        <v>1</v>
      </c>
      <c r="D436" s="4">
        <v>3</v>
      </c>
      <c r="E436" s="4" t="b">
        <v>0</v>
      </c>
      <c r="F436" s="4">
        <v>4</v>
      </c>
      <c r="G436" s="4">
        <v>1</v>
      </c>
      <c r="H436" s="4">
        <v>0.26</v>
      </c>
      <c r="I436">
        <f>VLOOKUP(A436,[1]Datasheet_2!$A$2:$H$611,2,FALSE)</f>
        <v>434</v>
      </c>
      <c r="J436">
        <f>VLOOKUP(A436,[1]Datasheet_2!$A$2:$H$611,3,FALSE)</f>
        <v>0.2576</v>
      </c>
      <c r="K436" s="9">
        <f>VLOOKUP(A436,[1]Datasheet_2!$A$2:$H$611,4,FALSE)</f>
        <v>0.56000000000000005</v>
      </c>
      <c r="L436" s="8">
        <f>VLOOKUP(A436,[1]Datasheet_2!$A$2:$H$611,5,FALSE)</f>
        <v>0.16420000000000001</v>
      </c>
      <c r="M436" s="8">
        <f>VLOOKUP(A436,[1]Datasheet_2!$A$2:$H$611,6,FALSE)</f>
        <v>0</v>
      </c>
      <c r="N436" s="8">
        <f>VLOOKUP(A436,[1]Datasheet_2!$A$2:$H$611,7,FALSE)</f>
        <v>1</v>
      </c>
      <c r="O436" s="9">
        <f>VLOOKUP(A436,[1]Datasheet_2!$A$2:$H$611,8,FALSE)</f>
        <v>1</v>
      </c>
    </row>
    <row r="437" spans="1:15" x14ac:dyDescent="0.3">
      <c r="A437" s="4">
        <v>436</v>
      </c>
      <c r="B437" s="5">
        <v>40563</v>
      </c>
      <c r="C437" s="4">
        <v>1</v>
      </c>
      <c r="D437" s="4">
        <v>4</v>
      </c>
      <c r="E437" s="4" t="b">
        <v>0</v>
      </c>
      <c r="F437" s="4">
        <v>4</v>
      </c>
      <c r="G437" s="4">
        <v>1</v>
      </c>
      <c r="H437" s="4">
        <v>0.26</v>
      </c>
      <c r="I437">
        <f>VLOOKUP(A437,[1]Datasheet_2!$A$2:$H$611,2,FALSE)</f>
        <v>435</v>
      </c>
      <c r="J437">
        <f>VLOOKUP(A437,[1]Datasheet_2!$A$2:$H$611,3,FALSE)</f>
        <v>0.2576</v>
      </c>
      <c r="K437" s="9">
        <f>VLOOKUP(A437,[1]Datasheet_2!$A$2:$H$611,4,FALSE)</f>
        <v>0.56000000000000005</v>
      </c>
      <c r="L437" s="8">
        <f>VLOOKUP(A437,[1]Datasheet_2!$A$2:$H$611,5,FALSE)</f>
        <v>0.16420000000000001</v>
      </c>
      <c r="M437" s="8">
        <f>VLOOKUP(A437,[1]Datasheet_2!$A$2:$H$611,6,FALSE)</f>
        <v>0</v>
      </c>
      <c r="N437" s="8">
        <f>VLOOKUP(A437,[1]Datasheet_2!$A$2:$H$611,7,FALSE)</f>
        <v>1</v>
      </c>
      <c r="O437" s="9">
        <f>VLOOKUP(A437,[1]Datasheet_2!$A$2:$H$611,8,FALSE)</f>
        <v>1</v>
      </c>
    </row>
    <row r="438" spans="1:15" x14ac:dyDescent="0.3">
      <c r="A438" s="4">
        <v>437</v>
      </c>
      <c r="B438" s="5">
        <v>40563</v>
      </c>
      <c r="C438" s="4">
        <v>1</v>
      </c>
      <c r="D438" s="4">
        <v>5</v>
      </c>
      <c r="E438" s="4" t="b">
        <v>0</v>
      </c>
      <c r="F438" s="4">
        <v>4</v>
      </c>
      <c r="G438" s="4">
        <v>1</v>
      </c>
      <c r="H438" s="4">
        <v>0.24</v>
      </c>
      <c r="I438">
        <f>VLOOKUP(A438,[1]Datasheet_2!$A$2:$H$611,2,FALSE)</f>
        <v>436</v>
      </c>
      <c r="J438">
        <f>VLOOKUP(A438,[1]Datasheet_2!$A$2:$H$611,3,FALSE)</f>
        <v>0.2273</v>
      </c>
      <c r="K438" s="9">
        <f>VLOOKUP(A438,[1]Datasheet_2!$A$2:$H$611,4,FALSE)</f>
        <v>0.6</v>
      </c>
      <c r="L438" s="8">
        <f>VLOOKUP(A438,[1]Datasheet_2!$A$2:$H$611,5,FALSE)</f>
        <v>0.22389999999999999</v>
      </c>
      <c r="M438" s="8">
        <f>VLOOKUP(A438,[1]Datasheet_2!$A$2:$H$611,6,FALSE)</f>
        <v>0</v>
      </c>
      <c r="N438" s="8">
        <f>VLOOKUP(A438,[1]Datasheet_2!$A$2:$H$611,7,FALSE)</f>
        <v>6</v>
      </c>
      <c r="O438" s="9">
        <f>VLOOKUP(A438,[1]Datasheet_2!$A$2:$H$611,8,FALSE)</f>
        <v>6</v>
      </c>
    </row>
    <row r="439" spans="1:15" x14ac:dyDescent="0.3">
      <c r="A439" s="4">
        <v>438</v>
      </c>
      <c r="B439" s="5">
        <v>40563</v>
      </c>
      <c r="C439" s="4">
        <v>1</v>
      </c>
      <c r="D439" s="4">
        <v>6</v>
      </c>
      <c r="E439" s="4" t="b">
        <v>0</v>
      </c>
      <c r="F439" s="4">
        <v>4</v>
      </c>
      <c r="G439" s="4">
        <v>1</v>
      </c>
      <c r="H439" s="4">
        <v>0.22</v>
      </c>
      <c r="I439">
        <f>VLOOKUP(A439,[1]Datasheet_2!$A$2:$H$611,2,FALSE)</f>
        <v>437</v>
      </c>
      <c r="J439">
        <f>VLOOKUP(A439,[1]Datasheet_2!$A$2:$H$611,3,FALSE)</f>
        <v>0.21210000000000001</v>
      </c>
      <c r="K439" s="9">
        <f>VLOOKUP(A439,[1]Datasheet_2!$A$2:$H$611,4,FALSE)</f>
        <v>0.6</v>
      </c>
      <c r="L439" s="8">
        <f>VLOOKUP(A439,[1]Datasheet_2!$A$2:$H$611,5,FALSE)</f>
        <v>0.22389999999999999</v>
      </c>
      <c r="M439" s="8">
        <f>VLOOKUP(A439,[1]Datasheet_2!$A$2:$H$611,6,FALSE)</f>
        <v>0</v>
      </c>
      <c r="N439" s="8">
        <f>VLOOKUP(A439,[1]Datasheet_2!$A$2:$H$611,7,FALSE)</f>
        <v>35</v>
      </c>
      <c r="O439" s="9">
        <f>VLOOKUP(A439,[1]Datasheet_2!$A$2:$H$611,8,FALSE)</f>
        <v>35</v>
      </c>
    </row>
    <row r="440" spans="1:15" x14ac:dyDescent="0.3">
      <c r="A440" s="4">
        <v>439</v>
      </c>
      <c r="B440" s="5">
        <v>40563</v>
      </c>
      <c r="C440" s="4">
        <v>1</v>
      </c>
      <c r="D440" s="4">
        <v>7</v>
      </c>
      <c r="E440" s="4" t="b">
        <v>0</v>
      </c>
      <c r="F440" s="4">
        <v>4</v>
      </c>
      <c r="G440" s="4">
        <v>1</v>
      </c>
      <c r="H440" s="4">
        <v>0.22</v>
      </c>
      <c r="I440">
        <f>VLOOKUP(A440,[1]Datasheet_2!$A$2:$H$611,2,FALSE)</f>
        <v>438</v>
      </c>
      <c r="J440">
        <f>VLOOKUP(A440,[1]Datasheet_2!$A$2:$H$611,3,FALSE)</f>
        <v>0.21210000000000001</v>
      </c>
      <c r="K440" s="9">
        <f>VLOOKUP(A440,[1]Datasheet_2!$A$2:$H$611,4,FALSE)</f>
        <v>0.55000000000000004</v>
      </c>
      <c r="L440" s="8">
        <f>VLOOKUP(A440,[1]Datasheet_2!$A$2:$H$611,5,FALSE)</f>
        <v>0.22389999999999999</v>
      </c>
      <c r="M440" s="8">
        <f>VLOOKUP(A440,[1]Datasheet_2!$A$2:$H$611,6,FALSE)</f>
        <v>1</v>
      </c>
      <c r="N440" s="8">
        <f>VLOOKUP(A440,[1]Datasheet_2!$A$2:$H$611,7,FALSE)</f>
        <v>100</v>
      </c>
      <c r="O440" s="9">
        <f>VLOOKUP(A440,[1]Datasheet_2!$A$2:$H$611,8,FALSE)</f>
        <v>101</v>
      </c>
    </row>
    <row r="441" spans="1:15" x14ac:dyDescent="0.3">
      <c r="A441" s="4">
        <v>440</v>
      </c>
      <c r="B441" s="5">
        <v>40563</v>
      </c>
      <c r="C441" s="4">
        <v>1</v>
      </c>
      <c r="D441" s="4">
        <v>8</v>
      </c>
      <c r="E441" s="4" t="b">
        <v>0</v>
      </c>
      <c r="F441" s="4">
        <v>4</v>
      </c>
      <c r="G441" s="4">
        <v>1</v>
      </c>
      <c r="H441" s="4">
        <v>0.22</v>
      </c>
      <c r="I441">
        <f>VLOOKUP(A441,[1]Datasheet_2!$A$2:$H$611,2,FALSE)</f>
        <v>439</v>
      </c>
      <c r="J441">
        <f>VLOOKUP(A441,[1]Datasheet_2!$A$2:$H$611,3,FALSE)</f>
        <v>0.21210000000000001</v>
      </c>
      <c r="K441" s="9">
        <f>VLOOKUP(A441,[1]Datasheet_2!$A$2:$H$611,4,FALSE)</f>
        <v>0.55000000000000004</v>
      </c>
      <c r="L441" s="8">
        <f>VLOOKUP(A441,[1]Datasheet_2!$A$2:$H$611,5,FALSE)</f>
        <v>0.28360000000000002</v>
      </c>
      <c r="M441" s="8">
        <f>VLOOKUP(A441,[1]Datasheet_2!$A$2:$H$611,6,FALSE)</f>
        <v>2</v>
      </c>
      <c r="N441" s="8">
        <f>VLOOKUP(A441,[1]Datasheet_2!$A$2:$H$611,7,FALSE)</f>
        <v>247</v>
      </c>
      <c r="O441" s="9">
        <f>VLOOKUP(A441,[1]Datasheet_2!$A$2:$H$611,8,FALSE)</f>
        <v>249</v>
      </c>
    </row>
    <row r="442" spans="1:15" x14ac:dyDescent="0.3">
      <c r="A442" s="4">
        <v>441</v>
      </c>
      <c r="B442" s="5">
        <v>40563</v>
      </c>
      <c r="C442" s="4">
        <v>1</v>
      </c>
      <c r="D442" s="4">
        <v>9</v>
      </c>
      <c r="E442" s="4" t="b">
        <v>0</v>
      </c>
      <c r="F442" s="4">
        <v>4</v>
      </c>
      <c r="G442" s="4">
        <v>2</v>
      </c>
      <c r="H442" s="4">
        <v>0.24</v>
      </c>
      <c r="I442">
        <f>VLOOKUP(A442,[1]Datasheet_2!$A$2:$H$611,2,FALSE)</f>
        <v>440</v>
      </c>
      <c r="J442">
        <f>VLOOKUP(A442,[1]Datasheet_2!$A$2:$H$611,3,FALSE)</f>
        <v>0.2273</v>
      </c>
      <c r="K442" s="9">
        <f>VLOOKUP(A442,[1]Datasheet_2!$A$2:$H$611,4,FALSE)</f>
        <v>0.52</v>
      </c>
      <c r="L442" s="8">
        <f>VLOOKUP(A442,[1]Datasheet_2!$A$2:$H$611,5,FALSE)</f>
        <v>0.22389999999999999</v>
      </c>
      <c r="M442" s="8">
        <f>VLOOKUP(A442,[1]Datasheet_2!$A$2:$H$611,6,FALSE)</f>
        <v>3</v>
      </c>
      <c r="N442" s="8">
        <f>VLOOKUP(A442,[1]Datasheet_2!$A$2:$H$611,7,FALSE)</f>
        <v>140</v>
      </c>
      <c r="O442" s="9">
        <f>VLOOKUP(A442,[1]Datasheet_2!$A$2:$H$611,8,FALSE)</f>
        <v>143</v>
      </c>
    </row>
    <row r="443" spans="1:15" x14ac:dyDescent="0.3">
      <c r="A443" s="4">
        <v>442</v>
      </c>
      <c r="B443" s="5">
        <v>40563</v>
      </c>
      <c r="C443" s="4">
        <v>1</v>
      </c>
      <c r="D443" s="4">
        <v>10</v>
      </c>
      <c r="E443" s="4" t="b">
        <v>0</v>
      </c>
      <c r="F443" s="4">
        <v>4</v>
      </c>
      <c r="G443" s="4">
        <v>1</v>
      </c>
      <c r="H443" s="4">
        <v>0.26</v>
      </c>
      <c r="I443">
        <f>VLOOKUP(A443,[1]Datasheet_2!$A$2:$H$611,2,FALSE)</f>
        <v>441</v>
      </c>
      <c r="J443">
        <f>VLOOKUP(A443,[1]Datasheet_2!$A$2:$H$611,3,FALSE)</f>
        <v>0.2273</v>
      </c>
      <c r="K443" s="9">
        <f>VLOOKUP(A443,[1]Datasheet_2!$A$2:$H$611,4,FALSE)</f>
        <v>0.48</v>
      </c>
      <c r="L443" s="8">
        <f>VLOOKUP(A443,[1]Datasheet_2!$A$2:$H$611,5,FALSE)</f>
        <v>0.29849999999999999</v>
      </c>
      <c r="M443" s="8">
        <f>VLOOKUP(A443,[1]Datasheet_2!$A$2:$H$611,6,FALSE)</f>
        <v>1</v>
      </c>
      <c r="N443" s="8">
        <f>VLOOKUP(A443,[1]Datasheet_2!$A$2:$H$611,7,FALSE)</f>
        <v>56</v>
      </c>
      <c r="O443" s="9">
        <f>VLOOKUP(A443,[1]Datasheet_2!$A$2:$H$611,8,FALSE)</f>
        <v>57</v>
      </c>
    </row>
    <row r="444" spans="1:15" x14ac:dyDescent="0.3">
      <c r="A444" s="4">
        <v>443</v>
      </c>
      <c r="B444" s="5">
        <v>40563</v>
      </c>
      <c r="C444" s="4">
        <v>1</v>
      </c>
      <c r="D444" s="4">
        <v>11</v>
      </c>
      <c r="E444" s="4" t="b">
        <v>0</v>
      </c>
      <c r="F444" s="4">
        <v>4</v>
      </c>
      <c r="G444" s="4">
        <v>2</v>
      </c>
      <c r="H444" s="4">
        <v>0.28000000000000003</v>
      </c>
      <c r="I444">
        <f>VLOOKUP(A444,[1]Datasheet_2!$A$2:$H$611,2,FALSE)</f>
        <v>442</v>
      </c>
      <c r="J444">
        <f>VLOOKUP(A444,[1]Datasheet_2!$A$2:$H$611,3,FALSE)</f>
        <v>0.2727</v>
      </c>
      <c r="K444" s="9">
        <f>VLOOKUP(A444,[1]Datasheet_2!$A$2:$H$611,4,FALSE)</f>
        <v>0.45</v>
      </c>
      <c r="L444" s="8">
        <f>VLOOKUP(A444,[1]Datasheet_2!$A$2:$H$611,5,FALSE)</f>
        <v>0.16420000000000001</v>
      </c>
      <c r="M444" s="8">
        <f>VLOOKUP(A444,[1]Datasheet_2!$A$2:$H$611,6,FALSE)</f>
        <v>5</v>
      </c>
      <c r="N444" s="8">
        <f>VLOOKUP(A444,[1]Datasheet_2!$A$2:$H$611,7,FALSE)</f>
        <v>63</v>
      </c>
      <c r="O444" s="9">
        <f>VLOOKUP(A444,[1]Datasheet_2!$A$2:$H$611,8,FALSE)</f>
        <v>68</v>
      </c>
    </row>
    <row r="445" spans="1:15" x14ac:dyDescent="0.3">
      <c r="A445" s="4">
        <v>444</v>
      </c>
      <c r="B445" s="5">
        <v>40563</v>
      </c>
      <c r="C445" s="4">
        <v>1</v>
      </c>
      <c r="D445" s="4">
        <v>12</v>
      </c>
      <c r="E445" s="4" t="b">
        <v>0</v>
      </c>
      <c r="F445" s="4">
        <v>4</v>
      </c>
      <c r="G445" s="4">
        <v>2</v>
      </c>
      <c r="H445" s="4">
        <v>0.3</v>
      </c>
      <c r="I445">
        <f>VLOOKUP(A445,[1]Datasheet_2!$A$2:$H$611,2,FALSE)</f>
        <v>443</v>
      </c>
      <c r="J445">
        <f>VLOOKUP(A445,[1]Datasheet_2!$A$2:$H$611,3,FALSE)</f>
        <v>0.33329999999999999</v>
      </c>
      <c r="K445" s="9">
        <f>VLOOKUP(A445,[1]Datasheet_2!$A$2:$H$611,4,FALSE)</f>
        <v>0.42</v>
      </c>
      <c r="L445" s="8">
        <f>VLOOKUP(A445,[1]Datasheet_2!$A$2:$H$611,5,FALSE)</f>
        <v>0</v>
      </c>
      <c r="M445" s="8">
        <f>VLOOKUP(A445,[1]Datasheet_2!$A$2:$H$611,6,FALSE)</f>
        <v>7</v>
      </c>
      <c r="N445" s="8">
        <f>VLOOKUP(A445,[1]Datasheet_2!$A$2:$H$611,7,FALSE)</f>
        <v>77</v>
      </c>
      <c r="O445" s="9">
        <f>VLOOKUP(A445,[1]Datasheet_2!$A$2:$H$611,8,FALSE)</f>
        <v>84</v>
      </c>
    </row>
    <row r="446" spans="1:15" x14ac:dyDescent="0.3">
      <c r="A446" s="4">
        <v>445</v>
      </c>
      <c r="B446" s="5">
        <v>40563</v>
      </c>
      <c r="C446" s="4">
        <v>1</v>
      </c>
      <c r="D446" s="4">
        <v>13</v>
      </c>
      <c r="E446" s="4" t="b">
        <v>0</v>
      </c>
      <c r="F446" s="4">
        <v>4</v>
      </c>
      <c r="G446" s="4">
        <v>2</v>
      </c>
      <c r="H446" s="4">
        <v>0.28000000000000003</v>
      </c>
      <c r="I446">
        <f>VLOOKUP(A446,[1]Datasheet_2!$A$2:$H$611,2,FALSE)</f>
        <v>444</v>
      </c>
      <c r="J446">
        <f>VLOOKUP(A446,[1]Datasheet_2!$A$2:$H$611,3,FALSE)</f>
        <v>0.28789999999999999</v>
      </c>
      <c r="K446" s="9">
        <f>VLOOKUP(A446,[1]Datasheet_2!$A$2:$H$611,4,FALSE)</f>
        <v>0.45</v>
      </c>
      <c r="L446" s="8">
        <f>VLOOKUP(A446,[1]Datasheet_2!$A$2:$H$611,5,FALSE)</f>
        <v>0.1045</v>
      </c>
      <c r="M446" s="8">
        <f>VLOOKUP(A446,[1]Datasheet_2!$A$2:$H$611,6,FALSE)</f>
        <v>12</v>
      </c>
      <c r="N446" s="8">
        <f>VLOOKUP(A446,[1]Datasheet_2!$A$2:$H$611,7,FALSE)</f>
        <v>86</v>
      </c>
      <c r="O446" s="9">
        <f>VLOOKUP(A446,[1]Datasheet_2!$A$2:$H$611,8,FALSE)</f>
        <v>98</v>
      </c>
    </row>
    <row r="447" spans="1:15" x14ac:dyDescent="0.3">
      <c r="A447" s="4">
        <v>446</v>
      </c>
      <c r="B447" s="5">
        <v>40563</v>
      </c>
      <c r="C447" s="4">
        <v>1</v>
      </c>
      <c r="D447" s="4">
        <v>14</v>
      </c>
      <c r="E447" s="4" t="b">
        <v>0</v>
      </c>
      <c r="F447" s="4">
        <v>4</v>
      </c>
      <c r="G447" s="4">
        <v>2</v>
      </c>
      <c r="H447" s="4">
        <v>0.3</v>
      </c>
      <c r="I447">
        <f>VLOOKUP(A447,[1]Datasheet_2!$A$2:$H$611,2,FALSE)</f>
        <v>445</v>
      </c>
      <c r="J447">
        <f>VLOOKUP(A447,[1]Datasheet_2!$A$2:$H$611,3,FALSE)</f>
        <v>0.30299999999999999</v>
      </c>
      <c r="K447" s="9">
        <f>VLOOKUP(A447,[1]Datasheet_2!$A$2:$H$611,4,FALSE)</f>
        <v>0.45</v>
      </c>
      <c r="L447" s="8">
        <f>VLOOKUP(A447,[1]Datasheet_2!$A$2:$H$611,5,FALSE)</f>
        <v>0.1343</v>
      </c>
      <c r="M447" s="8">
        <f>VLOOKUP(A447,[1]Datasheet_2!$A$2:$H$611,6,FALSE)</f>
        <v>6</v>
      </c>
      <c r="N447" s="8">
        <f>VLOOKUP(A447,[1]Datasheet_2!$A$2:$H$611,7,FALSE)</f>
        <v>75</v>
      </c>
      <c r="O447" s="9">
        <f>VLOOKUP(A447,[1]Datasheet_2!$A$2:$H$611,8,FALSE)</f>
        <v>81</v>
      </c>
    </row>
    <row r="448" spans="1:15" x14ac:dyDescent="0.3">
      <c r="A448" s="4">
        <v>447</v>
      </c>
      <c r="B448" s="5">
        <v>40563</v>
      </c>
      <c r="C448" s="4">
        <v>1</v>
      </c>
      <c r="D448" s="4">
        <v>15</v>
      </c>
      <c r="E448" s="4" t="b">
        <v>0</v>
      </c>
      <c r="F448" s="4">
        <v>4</v>
      </c>
      <c r="G448" s="4">
        <v>2</v>
      </c>
      <c r="H448" s="4">
        <v>0.32</v>
      </c>
      <c r="I448">
        <f>VLOOKUP(A448,[1]Datasheet_2!$A$2:$H$611,2,FALSE)</f>
        <v>446</v>
      </c>
      <c r="J448">
        <f>VLOOKUP(A448,[1]Datasheet_2!$A$2:$H$611,3,FALSE)</f>
        <v>0.31819999999999998</v>
      </c>
      <c r="K448" s="9">
        <f>VLOOKUP(A448,[1]Datasheet_2!$A$2:$H$611,4,FALSE)</f>
        <v>0.45</v>
      </c>
      <c r="L448" s="8">
        <f>VLOOKUP(A448,[1]Datasheet_2!$A$2:$H$611,5,FALSE)</f>
        <v>0.19400000000000001</v>
      </c>
      <c r="M448" s="8">
        <f>VLOOKUP(A448,[1]Datasheet_2!$A$2:$H$611,6,FALSE)</f>
        <v>8</v>
      </c>
      <c r="N448" s="8">
        <f>VLOOKUP(A448,[1]Datasheet_2!$A$2:$H$611,7,FALSE)</f>
        <v>62</v>
      </c>
      <c r="O448" s="9">
        <f>VLOOKUP(A448,[1]Datasheet_2!$A$2:$H$611,8,FALSE)</f>
        <v>70</v>
      </c>
    </row>
    <row r="449" spans="1:15" x14ac:dyDescent="0.3">
      <c r="A449" s="4">
        <v>448</v>
      </c>
      <c r="B449" s="5">
        <v>40563</v>
      </c>
      <c r="C449" s="4">
        <v>1</v>
      </c>
      <c r="D449" s="4">
        <v>16</v>
      </c>
      <c r="E449" s="4" t="b">
        <v>0</v>
      </c>
      <c r="F449" s="4">
        <v>4</v>
      </c>
      <c r="G449" s="4">
        <v>2</v>
      </c>
      <c r="H449" s="4">
        <v>0.3</v>
      </c>
      <c r="I449">
        <f>VLOOKUP(A449,[1]Datasheet_2!$A$2:$H$611,2,FALSE)</f>
        <v>447</v>
      </c>
      <c r="J449">
        <f>VLOOKUP(A449,[1]Datasheet_2!$A$2:$H$611,3,FALSE)</f>
        <v>0.30299999999999999</v>
      </c>
      <c r="K449" s="9">
        <f>VLOOKUP(A449,[1]Datasheet_2!$A$2:$H$611,4,FALSE)</f>
        <v>0.49</v>
      </c>
      <c r="L449" s="8">
        <f>VLOOKUP(A449,[1]Datasheet_2!$A$2:$H$611,5,FALSE)</f>
        <v>0.1343</v>
      </c>
      <c r="M449" s="8">
        <f>VLOOKUP(A449,[1]Datasheet_2!$A$2:$H$611,6,FALSE)</f>
        <v>8</v>
      </c>
      <c r="N449" s="8">
        <f>VLOOKUP(A449,[1]Datasheet_2!$A$2:$H$611,7,FALSE)</f>
        <v>83</v>
      </c>
      <c r="O449" s="9">
        <f>VLOOKUP(A449,[1]Datasheet_2!$A$2:$H$611,8,FALSE)</f>
        <v>91</v>
      </c>
    </row>
    <row r="450" spans="1:15" x14ac:dyDescent="0.3">
      <c r="A450" s="4">
        <v>449</v>
      </c>
      <c r="B450" s="5">
        <v>40563</v>
      </c>
      <c r="C450" s="4">
        <v>1</v>
      </c>
      <c r="D450" s="4">
        <v>17</v>
      </c>
      <c r="E450" s="4" t="b">
        <v>0</v>
      </c>
      <c r="F450" s="4">
        <v>4</v>
      </c>
      <c r="G450" s="4">
        <v>2</v>
      </c>
      <c r="H450" s="4">
        <v>0.3</v>
      </c>
      <c r="I450">
        <f>VLOOKUP(A450,[1]Datasheet_2!$A$2:$H$611,2,FALSE)</f>
        <v>448</v>
      </c>
      <c r="J450">
        <f>VLOOKUP(A450,[1]Datasheet_2!$A$2:$H$611,3,FALSE)</f>
        <v>0.31819999999999998</v>
      </c>
      <c r="K450" s="9">
        <f>VLOOKUP(A450,[1]Datasheet_2!$A$2:$H$611,4,FALSE)</f>
        <v>0.49</v>
      </c>
      <c r="L450" s="8">
        <f>VLOOKUP(A450,[1]Datasheet_2!$A$2:$H$611,5,FALSE)</f>
        <v>0.1045</v>
      </c>
      <c r="M450" s="8">
        <f>VLOOKUP(A450,[1]Datasheet_2!$A$2:$H$611,6,FALSE)</f>
        <v>8</v>
      </c>
      <c r="N450" s="8">
        <f>VLOOKUP(A450,[1]Datasheet_2!$A$2:$H$611,7,FALSE)</f>
        <v>207</v>
      </c>
      <c r="O450" s="9">
        <f>VLOOKUP(A450,[1]Datasheet_2!$A$2:$H$611,8,FALSE)</f>
        <v>215</v>
      </c>
    </row>
    <row r="451" spans="1:15" x14ac:dyDescent="0.3">
      <c r="A451" s="4">
        <v>450</v>
      </c>
      <c r="B451" s="5">
        <v>40563</v>
      </c>
      <c r="C451" s="4">
        <v>1</v>
      </c>
      <c r="D451" s="4">
        <v>18</v>
      </c>
      <c r="E451" s="4" t="b">
        <v>0</v>
      </c>
      <c r="F451" s="4">
        <v>4</v>
      </c>
      <c r="G451" s="4">
        <v>2</v>
      </c>
      <c r="H451" s="4">
        <v>0.26</v>
      </c>
      <c r="I451">
        <f>VLOOKUP(A451,[1]Datasheet_2!$A$2:$H$611,2,FALSE)</f>
        <v>449</v>
      </c>
      <c r="J451">
        <f>VLOOKUP(A451,[1]Datasheet_2!$A$2:$H$611,3,FALSE)</f>
        <v>0.2576</v>
      </c>
      <c r="K451" s="9">
        <f>VLOOKUP(A451,[1]Datasheet_2!$A$2:$H$611,4,FALSE)</f>
        <v>0.56000000000000005</v>
      </c>
      <c r="L451" s="8">
        <f>VLOOKUP(A451,[1]Datasheet_2!$A$2:$H$611,5,FALSE)</f>
        <v>0.19400000000000001</v>
      </c>
      <c r="M451" s="8">
        <f>VLOOKUP(A451,[1]Datasheet_2!$A$2:$H$611,6,FALSE)</f>
        <v>1</v>
      </c>
      <c r="N451" s="8">
        <f>VLOOKUP(A451,[1]Datasheet_2!$A$2:$H$611,7,FALSE)</f>
        <v>184</v>
      </c>
      <c r="O451" s="9">
        <f>VLOOKUP(A451,[1]Datasheet_2!$A$2:$H$611,8,FALSE)</f>
        <v>185</v>
      </c>
    </row>
    <row r="452" spans="1:15" x14ac:dyDescent="0.3">
      <c r="A452" s="4">
        <v>451</v>
      </c>
      <c r="B452" s="5">
        <v>40563</v>
      </c>
      <c r="C452" s="4">
        <v>1</v>
      </c>
      <c r="D452" s="4">
        <v>19</v>
      </c>
      <c r="E452" s="4" t="b">
        <v>0</v>
      </c>
      <c r="F452" s="4">
        <v>4</v>
      </c>
      <c r="G452" s="4">
        <v>1</v>
      </c>
      <c r="H452" s="4">
        <v>0.26</v>
      </c>
      <c r="I452">
        <f>VLOOKUP(A452,[1]Datasheet_2!$A$2:$H$611,2,FALSE)</f>
        <v>450</v>
      </c>
      <c r="J452">
        <f>VLOOKUP(A452,[1]Datasheet_2!$A$2:$H$611,3,FALSE)</f>
        <v>0.2273</v>
      </c>
      <c r="K452" s="9">
        <f>VLOOKUP(A452,[1]Datasheet_2!$A$2:$H$611,4,FALSE)</f>
        <v>0.56000000000000005</v>
      </c>
      <c r="L452" s="8">
        <f>VLOOKUP(A452,[1]Datasheet_2!$A$2:$H$611,5,FALSE)</f>
        <v>0.32840000000000003</v>
      </c>
      <c r="M452" s="8">
        <f>VLOOKUP(A452,[1]Datasheet_2!$A$2:$H$611,6,FALSE)</f>
        <v>6</v>
      </c>
      <c r="N452" s="8">
        <f>VLOOKUP(A452,[1]Datasheet_2!$A$2:$H$611,7,FALSE)</f>
        <v>146</v>
      </c>
      <c r="O452" s="9">
        <f>VLOOKUP(A452,[1]Datasheet_2!$A$2:$H$611,8,FALSE)</f>
        <v>152</v>
      </c>
    </row>
    <row r="453" spans="1:15" x14ac:dyDescent="0.3">
      <c r="A453" s="4">
        <v>452</v>
      </c>
      <c r="B453" s="5">
        <v>40563</v>
      </c>
      <c r="C453" s="4">
        <v>1</v>
      </c>
      <c r="D453" s="4">
        <v>20</v>
      </c>
      <c r="E453" s="4" t="b">
        <v>0</v>
      </c>
      <c r="F453" s="4">
        <v>4</v>
      </c>
      <c r="G453" s="4">
        <v>2</v>
      </c>
      <c r="H453" s="4">
        <v>0.26</v>
      </c>
      <c r="I453">
        <f>VLOOKUP(A453,[1]Datasheet_2!$A$2:$H$611,2,FALSE)</f>
        <v>451</v>
      </c>
      <c r="J453">
        <f>VLOOKUP(A453,[1]Datasheet_2!$A$2:$H$611,3,FALSE)</f>
        <v>0.2424</v>
      </c>
      <c r="K453" s="9">
        <f>VLOOKUP(A453,[1]Datasheet_2!$A$2:$H$611,4,FALSE)</f>
        <v>0.6</v>
      </c>
      <c r="L453" s="8">
        <f>VLOOKUP(A453,[1]Datasheet_2!$A$2:$H$611,5,FALSE)</f>
        <v>0.28360000000000002</v>
      </c>
      <c r="M453" s="8">
        <f>VLOOKUP(A453,[1]Datasheet_2!$A$2:$H$611,6,FALSE)</f>
        <v>2</v>
      </c>
      <c r="N453" s="8">
        <f>VLOOKUP(A453,[1]Datasheet_2!$A$2:$H$611,7,FALSE)</f>
        <v>124</v>
      </c>
      <c r="O453" s="9">
        <f>VLOOKUP(A453,[1]Datasheet_2!$A$2:$H$611,8,FALSE)</f>
        <v>126</v>
      </c>
    </row>
    <row r="454" spans="1:15" x14ac:dyDescent="0.3">
      <c r="A454" s="4">
        <v>453</v>
      </c>
      <c r="B454" s="5">
        <v>40563</v>
      </c>
      <c r="C454" s="4">
        <v>1</v>
      </c>
      <c r="D454" s="4">
        <v>21</v>
      </c>
      <c r="E454" s="4" t="b">
        <v>0</v>
      </c>
      <c r="F454" s="4">
        <v>4</v>
      </c>
      <c r="G454" s="4">
        <v>2</v>
      </c>
      <c r="H454" s="4">
        <v>0.24</v>
      </c>
      <c r="I454">
        <f>VLOOKUP(A454,[1]Datasheet_2!$A$2:$H$611,2,FALSE)</f>
        <v>452</v>
      </c>
      <c r="J454">
        <f>VLOOKUP(A454,[1]Datasheet_2!$A$2:$H$611,3,FALSE)</f>
        <v>0.2273</v>
      </c>
      <c r="K454" s="9">
        <f>VLOOKUP(A454,[1]Datasheet_2!$A$2:$H$611,4,FALSE)</f>
        <v>0.6</v>
      </c>
      <c r="L454" s="8">
        <f>VLOOKUP(A454,[1]Datasheet_2!$A$2:$H$611,5,FALSE)</f>
        <v>0.25369999999999998</v>
      </c>
      <c r="M454" s="8">
        <f>VLOOKUP(A454,[1]Datasheet_2!$A$2:$H$611,6,FALSE)</f>
        <v>3</v>
      </c>
      <c r="N454" s="8">
        <f>VLOOKUP(A454,[1]Datasheet_2!$A$2:$H$611,7,FALSE)</f>
        <v>54</v>
      </c>
      <c r="O454" s="9">
        <f>VLOOKUP(A454,[1]Datasheet_2!$A$2:$H$611,8,FALSE)</f>
        <v>57</v>
      </c>
    </row>
    <row r="455" spans="1:15" x14ac:dyDescent="0.3">
      <c r="A455" s="4">
        <v>454</v>
      </c>
      <c r="B455" s="5">
        <v>40563</v>
      </c>
      <c r="C455" s="4">
        <v>1</v>
      </c>
      <c r="D455" s="4">
        <v>22</v>
      </c>
      <c r="E455" s="4" t="b">
        <v>0</v>
      </c>
      <c r="F455" s="4">
        <v>4</v>
      </c>
      <c r="G455" s="4">
        <v>2</v>
      </c>
      <c r="H455" s="4">
        <v>0.24</v>
      </c>
      <c r="I455">
        <f>VLOOKUP(A455,[1]Datasheet_2!$A$2:$H$611,2,FALSE)</f>
        <v>453</v>
      </c>
      <c r="J455">
        <f>VLOOKUP(A455,[1]Datasheet_2!$A$2:$H$611,3,FALSE)</f>
        <v>0.21210000000000001</v>
      </c>
      <c r="K455" s="9">
        <f>VLOOKUP(A455,[1]Datasheet_2!$A$2:$H$611,4,FALSE)</f>
        <v>0.65</v>
      </c>
      <c r="L455" s="8">
        <f>VLOOKUP(A455,[1]Datasheet_2!$A$2:$H$611,5,FALSE)</f>
        <v>0.28360000000000002</v>
      </c>
      <c r="M455" s="8">
        <f>VLOOKUP(A455,[1]Datasheet_2!$A$2:$H$611,6,FALSE)</f>
        <v>0</v>
      </c>
      <c r="N455" s="8">
        <f>VLOOKUP(A455,[1]Datasheet_2!$A$2:$H$611,7,FALSE)</f>
        <v>56</v>
      </c>
      <c r="O455" s="9">
        <f>VLOOKUP(A455,[1]Datasheet_2!$A$2:$H$611,8,FALSE)</f>
        <v>56</v>
      </c>
    </row>
    <row r="456" spans="1:15" x14ac:dyDescent="0.3">
      <c r="A456" s="4">
        <v>455</v>
      </c>
      <c r="B456" s="5">
        <v>40563</v>
      </c>
      <c r="C456" s="4">
        <v>1</v>
      </c>
      <c r="D456" s="4">
        <v>23</v>
      </c>
      <c r="E456" s="4" t="b">
        <v>0</v>
      </c>
      <c r="F456" s="4">
        <v>4</v>
      </c>
      <c r="G456" s="4">
        <v>2</v>
      </c>
      <c r="H456" s="4">
        <v>0.24</v>
      </c>
      <c r="I456">
        <f>VLOOKUP(A456,[1]Datasheet_2!$A$2:$H$611,2,FALSE)</f>
        <v>454</v>
      </c>
      <c r="J456">
        <f>VLOOKUP(A456,[1]Datasheet_2!$A$2:$H$611,3,FALSE)</f>
        <v>0.21210000000000001</v>
      </c>
      <c r="K456" s="9">
        <f>VLOOKUP(A456,[1]Datasheet_2!$A$2:$H$611,4,FALSE)</f>
        <v>0.65</v>
      </c>
      <c r="L456" s="8">
        <f>VLOOKUP(A456,[1]Datasheet_2!$A$2:$H$611,5,FALSE)</f>
        <v>0.32840000000000003</v>
      </c>
      <c r="M456" s="8">
        <f>VLOOKUP(A456,[1]Datasheet_2!$A$2:$H$611,6,FALSE)</f>
        <v>3</v>
      </c>
      <c r="N456" s="8">
        <f>VLOOKUP(A456,[1]Datasheet_2!$A$2:$H$611,7,FALSE)</f>
        <v>28</v>
      </c>
      <c r="O456" s="9">
        <f>VLOOKUP(A456,[1]Datasheet_2!$A$2:$H$611,8,FALSE)</f>
        <v>31</v>
      </c>
    </row>
    <row r="457" spans="1:15" x14ac:dyDescent="0.3">
      <c r="A457" s="4">
        <v>456</v>
      </c>
      <c r="B457" s="5">
        <v>40564</v>
      </c>
      <c r="C457" s="4">
        <v>1</v>
      </c>
      <c r="D457" s="4">
        <v>0</v>
      </c>
      <c r="E457" s="4" t="b">
        <v>0</v>
      </c>
      <c r="F457" s="4">
        <v>5</v>
      </c>
      <c r="G457" s="4">
        <v>2</v>
      </c>
      <c r="H457" s="4">
        <v>0.24</v>
      </c>
      <c r="I457">
        <f>VLOOKUP(A457,[1]Datasheet_2!$A$2:$H$611,2,FALSE)</f>
        <v>455</v>
      </c>
      <c r="J457">
        <f>VLOOKUP(A457,[1]Datasheet_2!$A$2:$H$611,3,FALSE)</f>
        <v>0.2273</v>
      </c>
      <c r="K457" s="9">
        <f>VLOOKUP(A457,[1]Datasheet_2!$A$2:$H$611,4,FALSE)</f>
        <v>0.7</v>
      </c>
      <c r="L457" s="8">
        <f>VLOOKUP(A457,[1]Datasheet_2!$A$2:$H$611,5,FALSE)</f>
        <v>0.25369999999999998</v>
      </c>
      <c r="M457" s="8">
        <f>VLOOKUP(A457,[1]Datasheet_2!$A$2:$H$611,6,FALSE)</f>
        <v>1</v>
      </c>
      <c r="N457" s="8">
        <f>VLOOKUP(A457,[1]Datasheet_2!$A$2:$H$611,7,FALSE)</f>
        <v>20</v>
      </c>
      <c r="O457" s="9">
        <f>VLOOKUP(A457,[1]Datasheet_2!$A$2:$H$611,8,FALSE)</f>
        <v>21</v>
      </c>
    </row>
    <row r="458" spans="1:15" x14ac:dyDescent="0.3">
      <c r="A458" s="4">
        <v>457</v>
      </c>
      <c r="B458" s="5">
        <v>40564</v>
      </c>
      <c r="C458" s="4">
        <v>1</v>
      </c>
      <c r="D458" s="4">
        <v>1</v>
      </c>
      <c r="E458" s="4" t="b">
        <v>0</v>
      </c>
      <c r="F458" s="4">
        <v>5</v>
      </c>
      <c r="G458" s="4">
        <v>2</v>
      </c>
      <c r="H458" s="4">
        <v>0.24</v>
      </c>
      <c r="I458">
        <f>VLOOKUP(A458,[1]Datasheet_2!$A$2:$H$611,2,FALSE)</f>
        <v>456</v>
      </c>
      <c r="J458">
        <f>VLOOKUP(A458,[1]Datasheet_2!$A$2:$H$611,3,FALSE)</f>
        <v>0.2273</v>
      </c>
      <c r="K458" s="9">
        <f>VLOOKUP(A458,[1]Datasheet_2!$A$2:$H$611,4,FALSE)</f>
        <v>0.7</v>
      </c>
      <c r="L458" s="8">
        <f>VLOOKUP(A458,[1]Datasheet_2!$A$2:$H$611,5,FALSE)</f>
        <v>0.25369999999999998</v>
      </c>
      <c r="M458" s="8">
        <f>VLOOKUP(A458,[1]Datasheet_2!$A$2:$H$611,6,FALSE)</f>
        <v>0</v>
      </c>
      <c r="N458" s="8">
        <f>VLOOKUP(A458,[1]Datasheet_2!$A$2:$H$611,7,FALSE)</f>
        <v>6</v>
      </c>
      <c r="O458" s="9">
        <f>VLOOKUP(A458,[1]Datasheet_2!$A$2:$H$611,8,FALSE)</f>
        <v>6</v>
      </c>
    </row>
    <row r="459" spans="1:15" x14ac:dyDescent="0.3">
      <c r="A459" s="4">
        <v>458</v>
      </c>
      <c r="B459" s="5">
        <v>40564</v>
      </c>
      <c r="C459" s="4">
        <v>1</v>
      </c>
      <c r="D459" s="4">
        <v>2</v>
      </c>
      <c r="E459" s="4" t="b">
        <v>0</v>
      </c>
      <c r="F459" s="4">
        <v>5</v>
      </c>
      <c r="G459" s="4">
        <v>3</v>
      </c>
      <c r="H459" s="4">
        <v>0.24</v>
      </c>
      <c r="I459">
        <f>VLOOKUP(A459,[1]Datasheet_2!$A$2:$H$611,2,FALSE)</f>
        <v>457</v>
      </c>
      <c r="J459">
        <f>VLOOKUP(A459,[1]Datasheet_2!$A$2:$H$611,3,FALSE)</f>
        <v>0.2424</v>
      </c>
      <c r="K459" s="9">
        <f>VLOOKUP(A459,[1]Datasheet_2!$A$2:$H$611,4,FALSE)</f>
        <v>0.75</v>
      </c>
      <c r="L459" s="8">
        <f>VLOOKUP(A459,[1]Datasheet_2!$A$2:$H$611,5,FALSE)</f>
        <v>0.16420000000000001</v>
      </c>
      <c r="M459" s="8">
        <f>VLOOKUP(A459,[1]Datasheet_2!$A$2:$H$611,6,FALSE)</f>
        <v>0</v>
      </c>
      <c r="N459" s="8">
        <f>VLOOKUP(A459,[1]Datasheet_2!$A$2:$H$611,7,FALSE)</f>
        <v>2</v>
      </c>
      <c r="O459" s="9">
        <f>VLOOKUP(A459,[1]Datasheet_2!$A$2:$H$611,8,FALSE)</f>
        <v>2</v>
      </c>
    </row>
    <row r="460" spans="1:15" x14ac:dyDescent="0.3">
      <c r="A460" s="4">
        <v>459</v>
      </c>
      <c r="B460" s="5">
        <v>40564</v>
      </c>
      <c r="C460" s="4">
        <v>1</v>
      </c>
      <c r="D460" s="4">
        <v>3</v>
      </c>
      <c r="E460" s="4" t="b">
        <v>0</v>
      </c>
      <c r="F460" s="4">
        <v>5</v>
      </c>
      <c r="G460" s="4">
        <v>3</v>
      </c>
      <c r="H460" s="4">
        <v>0.22</v>
      </c>
      <c r="I460">
        <f>VLOOKUP(A460,[1]Datasheet_2!$A$2:$H$611,2,FALSE)</f>
        <v>458</v>
      </c>
      <c r="J460">
        <f>VLOOKUP(A460,[1]Datasheet_2!$A$2:$H$611,3,FALSE)</f>
        <v>0.21210000000000001</v>
      </c>
      <c r="K460" s="9">
        <f>VLOOKUP(A460,[1]Datasheet_2!$A$2:$H$611,4,FALSE)</f>
        <v>0.8</v>
      </c>
      <c r="L460" s="8">
        <f>VLOOKUP(A460,[1]Datasheet_2!$A$2:$H$611,5,FALSE)</f>
        <v>0.29849999999999999</v>
      </c>
      <c r="M460" s="8">
        <f>VLOOKUP(A460,[1]Datasheet_2!$A$2:$H$611,6,FALSE)</f>
        <v>0</v>
      </c>
      <c r="N460" s="8">
        <f>VLOOKUP(A460,[1]Datasheet_2!$A$2:$H$611,7,FALSE)</f>
        <v>1</v>
      </c>
      <c r="O460" s="9">
        <f>VLOOKUP(A460,[1]Datasheet_2!$A$2:$H$611,8,FALSE)</f>
        <v>1</v>
      </c>
    </row>
    <row r="461" spans="1:15" x14ac:dyDescent="0.3">
      <c r="A461" s="4">
        <v>460</v>
      </c>
      <c r="B461" s="5">
        <v>40564</v>
      </c>
      <c r="C461" s="4">
        <v>1</v>
      </c>
      <c r="D461" s="4">
        <v>4</v>
      </c>
      <c r="E461" s="4" t="b">
        <v>0</v>
      </c>
      <c r="F461" s="4">
        <v>5</v>
      </c>
      <c r="G461" s="4">
        <v>2</v>
      </c>
      <c r="H461" s="4">
        <v>0.22</v>
      </c>
      <c r="I461">
        <f>VLOOKUP(A461,[1]Datasheet_2!$A$2:$H$611,2,FALSE)</f>
        <v>459</v>
      </c>
      <c r="J461">
        <f>VLOOKUP(A461,[1]Datasheet_2!$A$2:$H$611,3,FALSE)</f>
        <v>0.2576</v>
      </c>
      <c r="K461" s="9">
        <f>VLOOKUP(A461,[1]Datasheet_2!$A$2:$H$611,4,FALSE)</f>
        <v>0.87</v>
      </c>
      <c r="L461" s="8">
        <f>VLOOKUP(A461,[1]Datasheet_2!$A$2:$H$611,5,FALSE)</f>
        <v>8.9599999999999999E-2</v>
      </c>
      <c r="M461" s="8">
        <f>VLOOKUP(A461,[1]Datasheet_2!$A$2:$H$611,6,FALSE)</f>
        <v>0</v>
      </c>
      <c r="N461" s="8">
        <f>VLOOKUP(A461,[1]Datasheet_2!$A$2:$H$611,7,FALSE)</f>
        <v>1</v>
      </c>
      <c r="O461" s="9">
        <f>VLOOKUP(A461,[1]Datasheet_2!$A$2:$H$611,8,FALSE)</f>
        <v>1</v>
      </c>
    </row>
    <row r="462" spans="1:15" x14ac:dyDescent="0.3">
      <c r="A462" s="4">
        <v>461</v>
      </c>
      <c r="B462" s="5">
        <v>40564</v>
      </c>
      <c r="C462" s="4">
        <v>1</v>
      </c>
      <c r="D462" s="4">
        <v>5</v>
      </c>
      <c r="E462" s="4" t="b">
        <v>0</v>
      </c>
      <c r="F462" s="4">
        <v>5</v>
      </c>
      <c r="G462" s="4">
        <v>1</v>
      </c>
      <c r="H462" s="4">
        <v>0.24</v>
      </c>
      <c r="I462">
        <f>VLOOKUP(A462,[1]Datasheet_2!$A$2:$H$611,2,FALSE)</f>
        <v>460</v>
      </c>
      <c r="J462">
        <f>VLOOKUP(A462,[1]Datasheet_2!$A$2:$H$611,3,FALSE)</f>
        <v>0.19700000000000001</v>
      </c>
      <c r="K462" s="9">
        <f>VLOOKUP(A462,[1]Datasheet_2!$A$2:$H$611,4,FALSE)</f>
        <v>0.6</v>
      </c>
      <c r="L462" s="8">
        <f>VLOOKUP(A462,[1]Datasheet_2!$A$2:$H$611,5,FALSE)</f>
        <v>0.41789999999999999</v>
      </c>
      <c r="M462" s="8">
        <f>VLOOKUP(A462,[1]Datasheet_2!$A$2:$H$611,6,FALSE)</f>
        <v>1</v>
      </c>
      <c r="N462" s="8">
        <f>VLOOKUP(A462,[1]Datasheet_2!$A$2:$H$611,7,FALSE)</f>
        <v>4</v>
      </c>
      <c r="O462" s="9">
        <f>VLOOKUP(A462,[1]Datasheet_2!$A$2:$H$611,8,FALSE)</f>
        <v>5</v>
      </c>
    </row>
    <row r="463" spans="1:15" x14ac:dyDescent="0.3">
      <c r="A463" s="4">
        <v>462</v>
      </c>
      <c r="B463" s="5">
        <v>40564</v>
      </c>
      <c r="C463" s="4">
        <v>1</v>
      </c>
      <c r="D463" s="4">
        <v>6</v>
      </c>
      <c r="E463" s="4" t="b">
        <v>0</v>
      </c>
      <c r="F463" s="4">
        <v>5</v>
      </c>
      <c r="G463" s="4">
        <v>1</v>
      </c>
      <c r="H463" s="4">
        <v>0.22</v>
      </c>
      <c r="I463">
        <f>VLOOKUP(A463,[1]Datasheet_2!$A$2:$H$611,2,FALSE)</f>
        <v>461</v>
      </c>
      <c r="J463">
        <f>VLOOKUP(A463,[1]Datasheet_2!$A$2:$H$611,3,FALSE)</f>
        <v>0.21210000000000001</v>
      </c>
      <c r="K463" s="9">
        <f>VLOOKUP(A463,[1]Datasheet_2!$A$2:$H$611,4,FALSE)</f>
        <v>0.55000000000000004</v>
      </c>
      <c r="L463" s="8">
        <f>VLOOKUP(A463,[1]Datasheet_2!$A$2:$H$611,5,FALSE)</f>
        <v>0.25369999999999998</v>
      </c>
      <c r="M463" s="8">
        <f>VLOOKUP(A463,[1]Datasheet_2!$A$2:$H$611,6,FALSE)</f>
        <v>0</v>
      </c>
      <c r="N463" s="8">
        <f>VLOOKUP(A463,[1]Datasheet_2!$A$2:$H$611,7,FALSE)</f>
        <v>27</v>
      </c>
      <c r="O463" s="9">
        <f>VLOOKUP(A463,[1]Datasheet_2!$A$2:$H$611,8,FALSE)</f>
        <v>27</v>
      </c>
    </row>
    <row r="464" spans="1:15" x14ac:dyDescent="0.3">
      <c r="A464" s="4">
        <v>463</v>
      </c>
      <c r="B464" s="5">
        <v>40564</v>
      </c>
      <c r="C464" s="4">
        <v>1</v>
      </c>
      <c r="D464" s="4">
        <v>7</v>
      </c>
      <c r="E464" s="4" t="b">
        <v>0</v>
      </c>
      <c r="F464" s="4">
        <v>5</v>
      </c>
      <c r="G464" s="4">
        <v>1</v>
      </c>
      <c r="H464" s="4">
        <v>0.2</v>
      </c>
      <c r="I464">
        <f>VLOOKUP(A464,[1]Datasheet_2!$A$2:$H$611,2,FALSE)</f>
        <v>462</v>
      </c>
      <c r="J464">
        <f>VLOOKUP(A464,[1]Datasheet_2!$A$2:$H$611,3,FALSE)</f>
        <v>0.18179999999999999</v>
      </c>
      <c r="K464" s="9">
        <f>VLOOKUP(A464,[1]Datasheet_2!$A$2:$H$611,4,FALSE)</f>
        <v>0.51</v>
      </c>
      <c r="L464" s="8">
        <f>VLOOKUP(A464,[1]Datasheet_2!$A$2:$H$611,5,FALSE)</f>
        <v>0.28360000000000002</v>
      </c>
      <c r="M464" s="8">
        <f>VLOOKUP(A464,[1]Datasheet_2!$A$2:$H$611,6,FALSE)</f>
        <v>2</v>
      </c>
      <c r="N464" s="8">
        <f>VLOOKUP(A464,[1]Datasheet_2!$A$2:$H$611,7,FALSE)</f>
        <v>66</v>
      </c>
      <c r="O464" s="9">
        <f>VLOOKUP(A464,[1]Datasheet_2!$A$2:$H$611,8,FALSE)</f>
        <v>68</v>
      </c>
    </row>
    <row r="465" spans="1:15" x14ac:dyDescent="0.3">
      <c r="A465" s="4">
        <v>464</v>
      </c>
      <c r="B465" s="5">
        <v>40564</v>
      </c>
      <c r="C465" s="4">
        <v>1</v>
      </c>
      <c r="D465" s="4">
        <v>8</v>
      </c>
      <c r="E465" s="4" t="b">
        <v>0</v>
      </c>
      <c r="F465" s="4">
        <v>5</v>
      </c>
      <c r="G465" s="4">
        <v>1</v>
      </c>
      <c r="H465" s="4">
        <v>0.2</v>
      </c>
      <c r="I465">
        <f>VLOOKUP(A465,[1]Datasheet_2!$A$2:$H$611,2,FALSE)</f>
        <v>463</v>
      </c>
      <c r="J465">
        <f>VLOOKUP(A465,[1]Datasheet_2!$A$2:$H$611,3,FALSE)</f>
        <v>0.18179999999999999</v>
      </c>
      <c r="K465" s="9">
        <f>VLOOKUP(A465,[1]Datasheet_2!$A$2:$H$611,4,FALSE)</f>
        <v>0.47</v>
      </c>
      <c r="L465" s="8">
        <f>VLOOKUP(A465,[1]Datasheet_2!$A$2:$H$611,5,FALSE)</f>
        <v>0.32840000000000003</v>
      </c>
      <c r="M465" s="8">
        <f>VLOOKUP(A465,[1]Datasheet_2!$A$2:$H$611,6,FALSE)</f>
        <v>7</v>
      </c>
      <c r="N465" s="8">
        <f>VLOOKUP(A465,[1]Datasheet_2!$A$2:$H$611,7,FALSE)</f>
        <v>210</v>
      </c>
      <c r="O465" s="9">
        <f>VLOOKUP(A465,[1]Datasheet_2!$A$2:$H$611,8,FALSE)</f>
        <v>217</v>
      </c>
    </row>
    <row r="466" spans="1:15" x14ac:dyDescent="0.3">
      <c r="A466" s="4">
        <v>465</v>
      </c>
      <c r="B466" s="5">
        <v>40564</v>
      </c>
      <c r="C466" s="4">
        <v>1</v>
      </c>
      <c r="D466" s="4">
        <v>9</v>
      </c>
      <c r="E466" s="4" t="b">
        <v>0</v>
      </c>
      <c r="F466" s="4">
        <v>5</v>
      </c>
      <c r="G466" s="4">
        <v>1</v>
      </c>
      <c r="H466" s="4">
        <v>0.2</v>
      </c>
      <c r="I466">
        <f>VLOOKUP(A466,[1]Datasheet_2!$A$2:$H$611,2,FALSE)</f>
        <v>464</v>
      </c>
      <c r="J466">
        <f>VLOOKUP(A466,[1]Datasheet_2!$A$2:$H$611,3,FALSE)</f>
        <v>0.18179999999999999</v>
      </c>
      <c r="K466" s="9">
        <f>VLOOKUP(A466,[1]Datasheet_2!$A$2:$H$611,4,FALSE)</f>
        <v>0.51</v>
      </c>
      <c r="L466" s="8">
        <f>VLOOKUP(A466,[1]Datasheet_2!$A$2:$H$611,5,FALSE)</f>
        <v>0.35820000000000002</v>
      </c>
      <c r="M466" s="8">
        <f>VLOOKUP(A466,[1]Datasheet_2!$A$2:$H$611,6,FALSE)</f>
        <v>7</v>
      </c>
      <c r="N466" s="8">
        <f>VLOOKUP(A466,[1]Datasheet_2!$A$2:$H$611,7,FALSE)</f>
        <v>159</v>
      </c>
      <c r="O466" s="9">
        <f>VLOOKUP(A466,[1]Datasheet_2!$A$2:$H$611,8,FALSE)</f>
        <v>166</v>
      </c>
    </row>
    <row r="467" spans="1:15" x14ac:dyDescent="0.3">
      <c r="A467" s="4">
        <v>466</v>
      </c>
      <c r="B467" s="5">
        <v>40564</v>
      </c>
      <c r="C467" s="4">
        <v>1</v>
      </c>
      <c r="D467" s="4">
        <v>10</v>
      </c>
      <c r="E467" s="4" t="b">
        <v>0</v>
      </c>
      <c r="F467" s="4">
        <v>5</v>
      </c>
      <c r="G467" s="4">
        <v>1</v>
      </c>
      <c r="H467" s="4">
        <v>0.2</v>
      </c>
      <c r="I467">
        <f>VLOOKUP(A467,[1]Datasheet_2!$A$2:$H$611,2,FALSE)</f>
        <v>465</v>
      </c>
      <c r="J467">
        <f>VLOOKUP(A467,[1]Datasheet_2!$A$2:$H$611,3,FALSE)</f>
        <v>0.16669999999999999</v>
      </c>
      <c r="K467" s="9">
        <f>VLOOKUP(A467,[1]Datasheet_2!$A$2:$H$611,4,FALSE)</f>
        <v>0.47</v>
      </c>
      <c r="L467" s="8">
        <f>VLOOKUP(A467,[1]Datasheet_2!$A$2:$H$611,5,FALSE)</f>
        <v>0.4627</v>
      </c>
      <c r="M467" s="8">
        <f>VLOOKUP(A467,[1]Datasheet_2!$A$2:$H$611,6,FALSE)</f>
        <v>6</v>
      </c>
      <c r="N467" s="8">
        <f>VLOOKUP(A467,[1]Datasheet_2!$A$2:$H$611,7,FALSE)</f>
        <v>57</v>
      </c>
      <c r="O467" s="9">
        <f>VLOOKUP(A467,[1]Datasheet_2!$A$2:$H$611,8,FALSE)</f>
        <v>63</v>
      </c>
    </row>
    <row r="468" spans="1:15" x14ac:dyDescent="0.3">
      <c r="A468" s="4">
        <v>467</v>
      </c>
      <c r="B468" s="5">
        <v>40564</v>
      </c>
      <c r="C468" s="4">
        <v>1</v>
      </c>
      <c r="D468" s="4">
        <v>11</v>
      </c>
      <c r="E468" s="4" t="b">
        <v>0</v>
      </c>
      <c r="F468" s="4">
        <v>5</v>
      </c>
      <c r="G468" s="4">
        <v>1</v>
      </c>
      <c r="H468" s="4">
        <v>0.22</v>
      </c>
      <c r="I468">
        <f>VLOOKUP(A468,[1]Datasheet_2!$A$2:$H$611,2,FALSE)</f>
        <v>466</v>
      </c>
      <c r="J468">
        <f>VLOOKUP(A468,[1]Datasheet_2!$A$2:$H$611,3,FALSE)</f>
        <v>0.18179999999999999</v>
      </c>
      <c r="K468" s="9">
        <f>VLOOKUP(A468,[1]Datasheet_2!$A$2:$H$611,4,FALSE)</f>
        <v>0.41</v>
      </c>
      <c r="L468" s="8">
        <f>VLOOKUP(A468,[1]Datasheet_2!$A$2:$H$611,5,FALSE)</f>
        <v>0.4627</v>
      </c>
      <c r="M468" s="8">
        <f>VLOOKUP(A468,[1]Datasheet_2!$A$2:$H$611,6,FALSE)</f>
        <v>6</v>
      </c>
      <c r="N468" s="8">
        <f>VLOOKUP(A468,[1]Datasheet_2!$A$2:$H$611,7,FALSE)</f>
        <v>53</v>
      </c>
      <c r="O468" s="9">
        <f>VLOOKUP(A468,[1]Datasheet_2!$A$2:$H$611,8,FALSE)</f>
        <v>59</v>
      </c>
    </row>
    <row r="469" spans="1:15" x14ac:dyDescent="0.3">
      <c r="A469" s="4">
        <v>468</v>
      </c>
      <c r="B469" s="5">
        <v>40564</v>
      </c>
      <c r="C469" s="4">
        <v>1</v>
      </c>
      <c r="D469" s="4">
        <v>12</v>
      </c>
      <c r="E469" s="4" t="b">
        <v>0</v>
      </c>
      <c r="F469" s="4">
        <v>5</v>
      </c>
      <c r="G469" s="4">
        <v>1</v>
      </c>
      <c r="H469" s="4">
        <v>0.22</v>
      </c>
      <c r="I469">
        <f>VLOOKUP(A469,[1]Datasheet_2!$A$2:$H$611,2,FALSE)</f>
        <v>467</v>
      </c>
      <c r="J469">
        <f>VLOOKUP(A469,[1]Datasheet_2!$A$2:$H$611,3,FALSE)</f>
        <v>0.18179999999999999</v>
      </c>
      <c r="K469" s="9">
        <f>VLOOKUP(A469,[1]Datasheet_2!$A$2:$H$611,4,FALSE)</f>
        <v>0.27</v>
      </c>
      <c r="L469" s="8">
        <f>VLOOKUP(A469,[1]Datasheet_2!$A$2:$H$611,5,FALSE)</f>
        <v>0.58209999999999995</v>
      </c>
      <c r="M469" s="8">
        <f>VLOOKUP(A469,[1]Datasheet_2!$A$2:$H$611,6,FALSE)</f>
        <v>11</v>
      </c>
      <c r="N469" s="8">
        <f>VLOOKUP(A469,[1]Datasheet_2!$A$2:$H$611,7,FALSE)</f>
        <v>67</v>
      </c>
      <c r="O469" s="9">
        <f>VLOOKUP(A469,[1]Datasheet_2!$A$2:$H$611,8,FALSE)</f>
        <v>78</v>
      </c>
    </row>
    <row r="470" spans="1:15" x14ac:dyDescent="0.3">
      <c r="A470" s="4">
        <v>469</v>
      </c>
      <c r="B470" s="5">
        <v>40564</v>
      </c>
      <c r="C470" s="4">
        <v>1</v>
      </c>
      <c r="D470" s="4">
        <v>13</v>
      </c>
      <c r="E470" s="4" t="b">
        <v>0</v>
      </c>
      <c r="F470" s="4">
        <v>5</v>
      </c>
      <c r="G470" s="4">
        <v>1</v>
      </c>
      <c r="H470" s="4">
        <v>0.2</v>
      </c>
      <c r="I470">
        <f>VLOOKUP(A470,[1]Datasheet_2!$A$2:$H$611,2,FALSE)</f>
        <v>468</v>
      </c>
      <c r="J470">
        <f>VLOOKUP(A470,[1]Datasheet_2!$A$2:$H$611,3,FALSE)</f>
        <v>0.1515</v>
      </c>
      <c r="K470" s="9">
        <f>VLOOKUP(A470,[1]Datasheet_2!$A$2:$H$611,4,FALSE)</f>
        <v>0.21</v>
      </c>
      <c r="L470" s="8">
        <f>VLOOKUP(A470,[1]Datasheet_2!$A$2:$H$611,5,FALSE)</f>
        <v>0.58209999999999995</v>
      </c>
      <c r="M470" s="8">
        <f>VLOOKUP(A470,[1]Datasheet_2!$A$2:$H$611,6,FALSE)</f>
        <v>8</v>
      </c>
      <c r="N470" s="8">
        <f>VLOOKUP(A470,[1]Datasheet_2!$A$2:$H$611,7,FALSE)</f>
        <v>65</v>
      </c>
      <c r="O470" s="9">
        <f>VLOOKUP(A470,[1]Datasheet_2!$A$2:$H$611,8,FALSE)</f>
        <v>73</v>
      </c>
    </row>
    <row r="471" spans="1:15" x14ac:dyDescent="0.3">
      <c r="A471" s="4">
        <v>470</v>
      </c>
      <c r="B471" s="5">
        <v>40564</v>
      </c>
      <c r="C471" s="4">
        <v>1</v>
      </c>
      <c r="D471" s="4">
        <v>14</v>
      </c>
      <c r="E471" s="4" t="b">
        <v>0</v>
      </c>
      <c r="F471" s="4">
        <v>5</v>
      </c>
      <c r="G471" s="4">
        <v>1</v>
      </c>
      <c r="H471" s="4">
        <v>0.2</v>
      </c>
      <c r="I471">
        <f>VLOOKUP(A471,[1]Datasheet_2!$A$2:$H$611,2,FALSE)</f>
        <v>469</v>
      </c>
      <c r="J471">
        <f>VLOOKUP(A471,[1]Datasheet_2!$A$2:$H$611,3,FALSE)</f>
        <v>0.1515</v>
      </c>
      <c r="K471" s="9">
        <f>VLOOKUP(A471,[1]Datasheet_2!$A$2:$H$611,4,FALSE)</f>
        <v>0.25</v>
      </c>
      <c r="L471" s="8">
        <f>VLOOKUP(A471,[1]Datasheet_2!$A$2:$H$611,5,FALSE)</f>
        <v>0.52239999999999998</v>
      </c>
      <c r="M471" s="8">
        <f>VLOOKUP(A471,[1]Datasheet_2!$A$2:$H$611,6,FALSE)</f>
        <v>6</v>
      </c>
      <c r="N471" s="8">
        <f>VLOOKUP(A471,[1]Datasheet_2!$A$2:$H$611,7,FALSE)</f>
        <v>56</v>
      </c>
      <c r="O471" s="9">
        <f>VLOOKUP(A471,[1]Datasheet_2!$A$2:$H$611,8,FALSE)</f>
        <v>62</v>
      </c>
    </row>
    <row r="472" spans="1:15" x14ac:dyDescent="0.3">
      <c r="A472" s="4">
        <v>471</v>
      </c>
      <c r="B472" s="5">
        <v>40564</v>
      </c>
      <c r="C472" s="4">
        <v>1</v>
      </c>
      <c r="D472" s="4">
        <v>15</v>
      </c>
      <c r="E472" s="4" t="b">
        <v>0</v>
      </c>
      <c r="F472" s="4">
        <v>5</v>
      </c>
      <c r="G472" s="4">
        <v>1</v>
      </c>
      <c r="H472" s="4">
        <v>0.16</v>
      </c>
      <c r="I472">
        <f>VLOOKUP(A472,[1]Datasheet_2!$A$2:$H$611,2,FALSE)</f>
        <v>470</v>
      </c>
      <c r="J472">
        <f>VLOOKUP(A472,[1]Datasheet_2!$A$2:$H$611,3,FALSE)</f>
        <v>0.1212</v>
      </c>
      <c r="K472" s="9">
        <f>VLOOKUP(A472,[1]Datasheet_2!$A$2:$H$611,4,FALSE)</f>
        <v>0.26</v>
      </c>
      <c r="L472" s="8">
        <f>VLOOKUP(A472,[1]Datasheet_2!$A$2:$H$611,5,FALSE)</f>
        <v>0.44779999999999998</v>
      </c>
      <c r="M472" s="8">
        <f>VLOOKUP(A472,[1]Datasheet_2!$A$2:$H$611,6,FALSE)</f>
        <v>4</v>
      </c>
      <c r="N472" s="8">
        <f>VLOOKUP(A472,[1]Datasheet_2!$A$2:$H$611,7,FALSE)</f>
        <v>61</v>
      </c>
      <c r="O472" s="9">
        <f>VLOOKUP(A472,[1]Datasheet_2!$A$2:$H$611,8,FALSE)</f>
        <v>65</v>
      </c>
    </row>
    <row r="473" spans="1:15" x14ac:dyDescent="0.3">
      <c r="A473" s="4">
        <v>472</v>
      </c>
      <c r="B473" s="5">
        <v>40564</v>
      </c>
      <c r="C473" s="4">
        <v>1</v>
      </c>
      <c r="D473" s="4">
        <v>16</v>
      </c>
      <c r="E473" s="4" t="b">
        <v>0</v>
      </c>
      <c r="F473" s="4">
        <v>5</v>
      </c>
      <c r="G473" s="4">
        <v>1</v>
      </c>
      <c r="H473" s="4">
        <v>0.16</v>
      </c>
      <c r="I473">
        <f>VLOOKUP(A473,[1]Datasheet_2!$A$2:$H$611,2,FALSE)</f>
        <v>471</v>
      </c>
      <c r="J473">
        <f>VLOOKUP(A473,[1]Datasheet_2!$A$2:$H$611,3,FALSE)</f>
        <v>0.13639999999999999</v>
      </c>
      <c r="K473" s="9">
        <f>VLOOKUP(A473,[1]Datasheet_2!$A$2:$H$611,4,FALSE)</f>
        <v>0.26</v>
      </c>
      <c r="L473" s="8">
        <f>VLOOKUP(A473,[1]Datasheet_2!$A$2:$H$611,5,FALSE)</f>
        <v>0.35820000000000002</v>
      </c>
      <c r="M473" s="8">
        <f>VLOOKUP(A473,[1]Datasheet_2!$A$2:$H$611,6,FALSE)</f>
        <v>0</v>
      </c>
      <c r="N473" s="8">
        <f>VLOOKUP(A473,[1]Datasheet_2!$A$2:$H$611,7,FALSE)</f>
        <v>97</v>
      </c>
      <c r="O473" s="9">
        <f>VLOOKUP(A473,[1]Datasheet_2!$A$2:$H$611,8,FALSE)</f>
        <v>97</v>
      </c>
    </row>
    <row r="474" spans="1:15" x14ac:dyDescent="0.3">
      <c r="A474" s="4">
        <v>473</v>
      </c>
      <c r="B474" s="5">
        <v>40564</v>
      </c>
      <c r="C474" s="4">
        <v>1</v>
      </c>
      <c r="D474" s="4">
        <v>17</v>
      </c>
      <c r="E474" s="4" t="b">
        <v>0</v>
      </c>
      <c r="F474" s="4">
        <v>5</v>
      </c>
      <c r="G474" s="4">
        <v>1</v>
      </c>
      <c r="H474" s="4">
        <v>0.14000000000000001</v>
      </c>
      <c r="I474">
        <f>VLOOKUP(A474,[1]Datasheet_2!$A$2:$H$611,2,FALSE)</f>
        <v>472</v>
      </c>
      <c r="J474">
        <f>VLOOKUP(A474,[1]Datasheet_2!$A$2:$H$611,3,FALSE)</f>
        <v>0.1212</v>
      </c>
      <c r="K474" s="9">
        <f>VLOOKUP(A474,[1]Datasheet_2!$A$2:$H$611,4,FALSE)</f>
        <v>0.28000000000000003</v>
      </c>
      <c r="L474" s="8">
        <f>VLOOKUP(A474,[1]Datasheet_2!$A$2:$H$611,5,FALSE)</f>
        <v>0.35820000000000002</v>
      </c>
      <c r="M474" s="8">
        <f>VLOOKUP(A474,[1]Datasheet_2!$A$2:$H$611,6,FALSE)</f>
        <v>10</v>
      </c>
      <c r="N474" s="8">
        <f>VLOOKUP(A474,[1]Datasheet_2!$A$2:$H$611,7,FALSE)</f>
        <v>151</v>
      </c>
      <c r="O474" s="9">
        <f>VLOOKUP(A474,[1]Datasheet_2!$A$2:$H$611,8,FALSE)</f>
        <v>161</v>
      </c>
    </row>
    <row r="475" spans="1:15" x14ac:dyDescent="0.3">
      <c r="A475" s="4">
        <v>474</v>
      </c>
      <c r="B475" s="5">
        <v>40564</v>
      </c>
      <c r="C475" s="4">
        <v>1</v>
      </c>
      <c r="D475" s="4">
        <v>18</v>
      </c>
      <c r="E475" s="4" t="b">
        <v>0</v>
      </c>
      <c r="F475" s="4">
        <v>5</v>
      </c>
      <c r="G475" s="4">
        <v>1</v>
      </c>
      <c r="H475" s="4">
        <v>0.12</v>
      </c>
      <c r="I475">
        <f>VLOOKUP(A475,[1]Datasheet_2!$A$2:$H$611,2,FALSE)</f>
        <v>473</v>
      </c>
      <c r="J475">
        <f>VLOOKUP(A475,[1]Datasheet_2!$A$2:$H$611,3,FALSE)</f>
        <v>0.1212</v>
      </c>
      <c r="K475" s="9">
        <f>VLOOKUP(A475,[1]Datasheet_2!$A$2:$H$611,4,FALSE)</f>
        <v>0.3</v>
      </c>
      <c r="L475" s="8">
        <f>VLOOKUP(A475,[1]Datasheet_2!$A$2:$H$611,5,FALSE)</f>
        <v>0.25369999999999998</v>
      </c>
      <c r="M475" s="8">
        <f>VLOOKUP(A475,[1]Datasheet_2!$A$2:$H$611,6,FALSE)</f>
        <v>1</v>
      </c>
      <c r="N475" s="8">
        <f>VLOOKUP(A475,[1]Datasheet_2!$A$2:$H$611,7,FALSE)</f>
        <v>119</v>
      </c>
      <c r="O475" s="9">
        <f>VLOOKUP(A475,[1]Datasheet_2!$A$2:$H$611,8,FALSE)</f>
        <v>120</v>
      </c>
    </row>
    <row r="476" spans="1:15" x14ac:dyDescent="0.3">
      <c r="A476" s="4">
        <v>475</v>
      </c>
      <c r="B476" s="5">
        <v>40564</v>
      </c>
      <c r="C476" s="4">
        <v>1</v>
      </c>
      <c r="D476" s="4">
        <v>19</v>
      </c>
      <c r="E476" s="4" t="b">
        <v>0</v>
      </c>
      <c r="F476" s="4">
        <v>5</v>
      </c>
      <c r="G476" s="4">
        <v>1</v>
      </c>
      <c r="H476" s="4">
        <v>0.12</v>
      </c>
      <c r="I476">
        <f>VLOOKUP(A476,[1]Datasheet_2!$A$2:$H$611,2,FALSE)</f>
        <v>474</v>
      </c>
      <c r="J476">
        <f>VLOOKUP(A476,[1]Datasheet_2!$A$2:$H$611,3,FALSE)</f>
        <v>0.1061</v>
      </c>
      <c r="K476" s="9">
        <f>VLOOKUP(A476,[1]Datasheet_2!$A$2:$H$611,4,FALSE)</f>
        <v>0.3</v>
      </c>
      <c r="L476" s="8">
        <f>VLOOKUP(A476,[1]Datasheet_2!$A$2:$H$611,5,FALSE)</f>
        <v>0.32840000000000003</v>
      </c>
      <c r="M476" s="8">
        <f>VLOOKUP(A476,[1]Datasheet_2!$A$2:$H$611,6,FALSE)</f>
        <v>3</v>
      </c>
      <c r="N476" s="8">
        <f>VLOOKUP(A476,[1]Datasheet_2!$A$2:$H$611,7,FALSE)</f>
        <v>93</v>
      </c>
      <c r="O476" s="9">
        <f>VLOOKUP(A476,[1]Datasheet_2!$A$2:$H$611,8,FALSE)</f>
        <v>96</v>
      </c>
    </row>
    <row r="477" spans="1:15" x14ac:dyDescent="0.3">
      <c r="A477" s="4">
        <v>476</v>
      </c>
      <c r="B477" s="5">
        <v>40564</v>
      </c>
      <c r="C477" s="4">
        <v>1</v>
      </c>
      <c r="D477" s="4">
        <v>20</v>
      </c>
      <c r="E477" s="4" t="b">
        <v>0</v>
      </c>
      <c r="F477" s="4">
        <v>5</v>
      </c>
      <c r="G477" s="4">
        <v>1</v>
      </c>
      <c r="H477" s="4">
        <v>0.1</v>
      </c>
      <c r="I477">
        <f>VLOOKUP(A477,[1]Datasheet_2!$A$2:$H$611,2,FALSE)</f>
        <v>475</v>
      </c>
      <c r="J477">
        <f>VLOOKUP(A477,[1]Datasheet_2!$A$2:$H$611,3,FALSE)</f>
        <v>7.5800000000000006E-2</v>
      </c>
      <c r="K477" s="9">
        <f>VLOOKUP(A477,[1]Datasheet_2!$A$2:$H$611,4,FALSE)</f>
        <v>0.33</v>
      </c>
      <c r="L477" s="8">
        <f>VLOOKUP(A477,[1]Datasheet_2!$A$2:$H$611,5,FALSE)</f>
        <v>0.41789999999999999</v>
      </c>
      <c r="M477" s="8">
        <f>VLOOKUP(A477,[1]Datasheet_2!$A$2:$H$611,6,FALSE)</f>
        <v>1</v>
      </c>
      <c r="N477" s="8">
        <f>VLOOKUP(A477,[1]Datasheet_2!$A$2:$H$611,7,FALSE)</f>
        <v>52</v>
      </c>
      <c r="O477" s="9">
        <f>VLOOKUP(A477,[1]Datasheet_2!$A$2:$H$611,8,FALSE)</f>
        <v>53</v>
      </c>
    </row>
    <row r="478" spans="1:15" x14ac:dyDescent="0.3">
      <c r="A478" s="4">
        <v>477</v>
      </c>
      <c r="B478" s="5">
        <v>40564</v>
      </c>
      <c r="C478" s="4">
        <v>1</v>
      </c>
      <c r="D478" s="4">
        <v>21</v>
      </c>
      <c r="E478" s="4" t="b">
        <v>0</v>
      </c>
      <c r="F478" s="4">
        <v>5</v>
      </c>
      <c r="G478" s="4">
        <v>1</v>
      </c>
      <c r="H478" s="4">
        <v>0.08</v>
      </c>
      <c r="I478">
        <f>VLOOKUP(A478,[1]Datasheet_2!$A$2:$H$611,2,FALSE)</f>
        <v>476</v>
      </c>
      <c r="J478">
        <f>VLOOKUP(A478,[1]Datasheet_2!$A$2:$H$611,3,FALSE)</f>
        <v>7.5800000000000006E-2</v>
      </c>
      <c r="K478" s="9">
        <f>VLOOKUP(A478,[1]Datasheet_2!$A$2:$H$611,4,FALSE)</f>
        <v>0.38</v>
      </c>
      <c r="L478" s="8">
        <f>VLOOKUP(A478,[1]Datasheet_2!$A$2:$H$611,5,FALSE)</f>
        <v>0.28360000000000002</v>
      </c>
      <c r="M478" s="8">
        <f>VLOOKUP(A478,[1]Datasheet_2!$A$2:$H$611,6,FALSE)</f>
        <v>0</v>
      </c>
      <c r="N478" s="8">
        <f>VLOOKUP(A478,[1]Datasheet_2!$A$2:$H$611,7,FALSE)</f>
        <v>41</v>
      </c>
      <c r="O478" s="9">
        <f>VLOOKUP(A478,[1]Datasheet_2!$A$2:$H$611,8,FALSE)</f>
        <v>41</v>
      </c>
    </row>
    <row r="479" spans="1:15" x14ac:dyDescent="0.3">
      <c r="A479" s="4">
        <v>478</v>
      </c>
      <c r="B479" s="5">
        <v>40564</v>
      </c>
      <c r="C479" s="4">
        <v>1</v>
      </c>
      <c r="D479" s="4">
        <v>22</v>
      </c>
      <c r="E479" s="4" t="b">
        <v>0</v>
      </c>
      <c r="F479" s="4">
        <v>5</v>
      </c>
      <c r="G479" s="4">
        <v>1</v>
      </c>
      <c r="H479" s="4">
        <v>0.06</v>
      </c>
      <c r="I479">
        <f>VLOOKUP(A479,[1]Datasheet_2!$A$2:$H$611,2,FALSE)</f>
        <v>477</v>
      </c>
      <c r="J479">
        <f>VLOOKUP(A479,[1]Datasheet_2!$A$2:$H$611,3,FALSE)</f>
        <v>3.0300000000000001E-2</v>
      </c>
      <c r="K479" s="9">
        <f>VLOOKUP(A479,[1]Datasheet_2!$A$2:$H$611,4,FALSE)</f>
        <v>0.41</v>
      </c>
      <c r="L479" s="8">
        <f>VLOOKUP(A479,[1]Datasheet_2!$A$2:$H$611,5,FALSE)</f>
        <v>0.3881</v>
      </c>
      <c r="M479" s="8">
        <f>VLOOKUP(A479,[1]Datasheet_2!$A$2:$H$611,6,FALSE)</f>
        <v>1</v>
      </c>
      <c r="N479" s="8">
        <f>VLOOKUP(A479,[1]Datasheet_2!$A$2:$H$611,7,FALSE)</f>
        <v>33</v>
      </c>
      <c r="O479" s="9">
        <f>VLOOKUP(A479,[1]Datasheet_2!$A$2:$H$611,8,FALSE)</f>
        <v>34</v>
      </c>
    </row>
    <row r="480" spans="1:15" x14ac:dyDescent="0.3">
      <c r="A480" s="4">
        <v>479</v>
      </c>
      <c r="B480" s="5">
        <v>40564</v>
      </c>
      <c r="C480" s="4">
        <v>1</v>
      </c>
      <c r="D480" s="4">
        <v>23</v>
      </c>
      <c r="E480" s="4" t="b">
        <v>0</v>
      </c>
      <c r="F480" s="4">
        <v>5</v>
      </c>
      <c r="G480" s="4">
        <v>1</v>
      </c>
      <c r="H480" s="4">
        <v>0.06</v>
      </c>
      <c r="I480">
        <f>VLOOKUP(A480,[1]Datasheet_2!$A$2:$H$611,2,FALSE)</f>
        <v>478</v>
      </c>
      <c r="J480">
        <f>VLOOKUP(A480,[1]Datasheet_2!$A$2:$H$611,3,FALSE)</f>
        <v>4.5499999999999999E-2</v>
      </c>
      <c r="K480" s="9">
        <f>VLOOKUP(A480,[1]Datasheet_2!$A$2:$H$611,4,FALSE)</f>
        <v>0.38</v>
      </c>
      <c r="L480" s="8">
        <f>VLOOKUP(A480,[1]Datasheet_2!$A$2:$H$611,5,FALSE)</f>
        <v>0.32840000000000003</v>
      </c>
      <c r="M480" s="8">
        <f>VLOOKUP(A480,[1]Datasheet_2!$A$2:$H$611,6,FALSE)</f>
        <v>0</v>
      </c>
      <c r="N480" s="8">
        <f>VLOOKUP(A480,[1]Datasheet_2!$A$2:$H$611,7,FALSE)</f>
        <v>27</v>
      </c>
      <c r="O480" s="9">
        <f>VLOOKUP(A480,[1]Datasheet_2!$A$2:$H$611,8,FALSE)</f>
        <v>27</v>
      </c>
    </row>
    <row r="481" spans="1:15" x14ac:dyDescent="0.3">
      <c r="A481" s="4">
        <v>480</v>
      </c>
      <c r="B481" s="5">
        <v>40565</v>
      </c>
      <c r="C481" s="4">
        <v>1</v>
      </c>
      <c r="D481" s="4">
        <v>0</v>
      </c>
      <c r="E481" s="4" t="b">
        <v>0</v>
      </c>
      <c r="F481" s="4">
        <v>6</v>
      </c>
      <c r="G481" s="4">
        <v>1</v>
      </c>
      <c r="H481" s="4">
        <v>0.04</v>
      </c>
      <c r="I481">
        <f>VLOOKUP(A481,[1]Datasheet_2!$A$2:$H$611,2,FALSE)</f>
        <v>479</v>
      </c>
      <c r="J481">
        <f>VLOOKUP(A481,[1]Datasheet_2!$A$2:$H$611,3,FALSE)</f>
        <v>3.0300000000000001E-2</v>
      </c>
      <c r="K481" s="9">
        <f>VLOOKUP(A481,[1]Datasheet_2!$A$2:$H$611,4,FALSE)</f>
        <v>0.45</v>
      </c>
      <c r="L481" s="8">
        <f>VLOOKUP(A481,[1]Datasheet_2!$A$2:$H$611,5,FALSE)</f>
        <v>0.25369999999999998</v>
      </c>
      <c r="M481" s="8">
        <f>VLOOKUP(A481,[1]Datasheet_2!$A$2:$H$611,6,FALSE)</f>
        <v>0</v>
      </c>
      <c r="N481" s="8">
        <f>VLOOKUP(A481,[1]Datasheet_2!$A$2:$H$611,7,FALSE)</f>
        <v>13</v>
      </c>
      <c r="O481" s="9">
        <f>VLOOKUP(A481,[1]Datasheet_2!$A$2:$H$611,8,FALSE)</f>
        <v>13</v>
      </c>
    </row>
    <row r="482" spans="1:15" x14ac:dyDescent="0.3">
      <c r="A482" s="4">
        <v>481</v>
      </c>
      <c r="B482" s="5">
        <v>40565</v>
      </c>
      <c r="C482" s="4">
        <v>1</v>
      </c>
      <c r="D482" s="4">
        <v>1</v>
      </c>
      <c r="E482" s="4" t="b">
        <v>0</v>
      </c>
      <c r="F482" s="4">
        <v>6</v>
      </c>
      <c r="G482" s="4">
        <v>2</v>
      </c>
      <c r="H482" s="4">
        <v>0.04</v>
      </c>
      <c r="I482">
        <f>VLOOKUP(A482,[1]Datasheet_2!$A$2:$H$611,2,FALSE)</f>
        <v>480</v>
      </c>
      <c r="J482">
        <f>VLOOKUP(A482,[1]Datasheet_2!$A$2:$H$611,3,FALSE)</f>
        <v>0</v>
      </c>
      <c r="K482" s="9">
        <f>VLOOKUP(A482,[1]Datasheet_2!$A$2:$H$611,4,FALSE)</f>
        <v>0.41</v>
      </c>
      <c r="L482" s="8">
        <f>VLOOKUP(A482,[1]Datasheet_2!$A$2:$H$611,5,FALSE)</f>
        <v>0.3881</v>
      </c>
      <c r="M482" s="8">
        <f>VLOOKUP(A482,[1]Datasheet_2!$A$2:$H$611,6,FALSE)</f>
        <v>3</v>
      </c>
      <c r="N482" s="8">
        <f>VLOOKUP(A482,[1]Datasheet_2!$A$2:$H$611,7,FALSE)</f>
        <v>9</v>
      </c>
      <c r="O482" s="9">
        <f>VLOOKUP(A482,[1]Datasheet_2!$A$2:$H$611,8,FALSE)</f>
        <v>12</v>
      </c>
    </row>
    <row r="483" spans="1:15" x14ac:dyDescent="0.3">
      <c r="A483" s="4">
        <v>482</v>
      </c>
      <c r="B483" s="5">
        <v>40565</v>
      </c>
      <c r="C483" s="4">
        <v>1</v>
      </c>
      <c r="D483" s="4">
        <v>2</v>
      </c>
      <c r="E483" s="4" t="b">
        <v>0</v>
      </c>
      <c r="F483" s="4">
        <v>6</v>
      </c>
      <c r="G483" s="4">
        <v>2</v>
      </c>
      <c r="H483" s="4">
        <v>0.04</v>
      </c>
      <c r="I483">
        <f>VLOOKUP(A483,[1]Datasheet_2!$A$2:$H$611,2,FALSE)</f>
        <v>481</v>
      </c>
      <c r="J483">
        <f>VLOOKUP(A483,[1]Datasheet_2!$A$2:$H$611,3,FALSE)</f>
        <v>3.0300000000000001E-2</v>
      </c>
      <c r="K483" s="9">
        <f>VLOOKUP(A483,[1]Datasheet_2!$A$2:$H$611,4,FALSE)</f>
        <v>0.41</v>
      </c>
      <c r="L483" s="8">
        <f>VLOOKUP(A483,[1]Datasheet_2!$A$2:$H$611,5,FALSE)</f>
        <v>0.25369999999999998</v>
      </c>
      <c r="M483" s="8">
        <f>VLOOKUP(A483,[1]Datasheet_2!$A$2:$H$611,6,FALSE)</f>
        <v>0</v>
      </c>
      <c r="N483" s="8">
        <f>VLOOKUP(A483,[1]Datasheet_2!$A$2:$H$611,7,FALSE)</f>
        <v>11</v>
      </c>
      <c r="O483" s="9">
        <f>VLOOKUP(A483,[1]Datasheet_2!$A$2:$H$611,8,FALSE)</f>
        <v>11</v>
      </c>
    </row>
    <row r="484" spans="1:15" x14ac:dyDescent="0.3">
      <c r="A484" s="4">
        <v>483</v>
      </c>
      <c r="B484" s="5">
        <v>40565</v>
      </c>
      <c r="C484" s="4">
        <v>1</v>
      </c>
      <c r="D484" s="4">
        <v>3</v>
      </c>
      <c r="E484" s="4" t="b">
        <v>0</v>
      </c>
      <c r="F484" s="4">
        <v>6</v>
      </c>
      <c r="G484" s="4">
        <v>2</v>
      </c>
      <c r="H484" s="4">
        <v>0.04</v>
      </c>
      <c r="I484">
        <f>VLOOKUP(A484,[1]Datasheet_2!$A$2:$H$611,2,FALSE)</f>
        <v>482</v>
      </c>
      <c r="J484">
        <f>VLOOKUP(A484,[1]Datasheet_2!$A$2:$H$611,3,FALSE)</f>
        <v>3.0300000000000001E-2</v>
      </c>
      <c r="K484" s="9">
        <f>VLOOKUP(A484,[1]Datasheet_2!$A$2:$H$611,4,FALSE)</f>
        <v>0.41</v>
      </c>
      <c r="L484" s="8">
        <f>VLOOKUP(A484,[1]Datasheet_2!$A$2:$H$611,5,FALSE)</f>
        <v>0.28360000000000002</v>
      </c>
      <c r="M484" s="8">
        <f>VLOOKUP(A484,[1]Datasheet_2!$A$2:$H$611,6,FALSE)</f>
        <v>1</v>
      </c>
      <c r="N484" s="8">
        <f>VLOOKUP(A484,[1]Datasheet_2!$A$2:$H$611,7,FALSE)</f>
        <v>6</v>
      </c>
      <c r="O484" s="9">
        <f>VLOOKUP(A484,[1]Datasheet_2!$A$2:$H$611,8,FALSE)</f>
        <v>7</v>
      </c>
    </row>
    <row r="485" spans="1:15" x14ac:dyDescent="0.3">
      <c r="A485" s="4">
        <v>484</v>
      </c>
      <c r="B485" s="5">
        <v>40565</v>
      </c>
      <c r="C485" s="4">
        <v>1</v>
      </c>
      <c r="D485" s="4">
        <v>4</v>
      </c>
      <c r="E485" s="4" t="b">
        <v>0</v>
      </c>
      <c r="F485" s="4">
        <v>6</v>
      </c>
      <c r="G485" s="4">
        <v>2</v>
      </c>
      <c r="H485" s="4">
        <v>0.02</v>
      </c>
      <c r="I485">
        <f>VLOOKUP(A485,[1]Datasheet_2!$A$2:$H$611,2,FALSE)</f>
        <v>483</v>
      </c>
      <c r="J485">
        <f>VLOOKUP(A485,[1]Datasheet_2!$A$2:$H$611,3,FALSE)</f>
        <v>1.52E-2</v>
      </c>
      <c r="K485" s="9">
        <f>VLOOKUP(A485,[1]Datasheet_2!$A$2:$H$611,4,FALSE)</f>
        <v>0.48</v>
      </c>
      <c r="L485" s="8">
        <f>VLOOKUP(A485,[1]Datasheet_2!$A$2:$H$611,5,FALSE)</f>
        <v>0.29849999999999999</v>
      </c>
      <c r="M485" s="8">
        <f>VLOOKUP(A485,[1]Datasheet_2!$A$2:$H$611,6,FALSE)</f>
        <v>0</v>
      </c>
      <c r="N485" s="8">
        <f>VLOOKUP(A485,[1]Datasheet_2!$A$2:$H$611,7,FALSE)</f>
        <v>3</v>
      </c>
      <c r="O485" s="9">
        <f>VLOOKUP(A485,[1]Datasheet_2!$A$2:$H$611,8,FALSE)</f>
        <v>3</v>
      </c>
    </row>
    <row r="486" spans="1:15" x14ac:dyDescent="0.3">
      <c r="A486" s="4">
        <v>485</v>
      </c>
      <c r="B486" s="5">
        <v>40565</v>
      </c>
      <c r="C486" s="4">
        <v>1</v>
      </c>
      <c r="D486" s="4">
        <v>6</v>
      </c>
      <c r="E486" s="4" t="b">
        <v>0</v>
      </c>
      <c r="F486" s="4">
        <v>6</v>
      </c>
      <c r="G486" s="4">
        <v>2</v>
      </c>
      <c r="H486" s="4">
        <v>0.02</v>
      </c>
      <c r="I486">
        <f>VLOOKUP(A486,[1]Datasheet_2!$A$2:$H$611,2,FALSE)</f>
        <v>484</v>
      </c>
      <c r="J486">
        <f>VLOOKUP(A486,[1]Datasheet_2!$A$2:$H$611,3,FALSE)</f>
        <v>3.0300000000000001E-2</v>
      </c>
      <c r="K486" s="9">
        <f>VLOOKUP(A486,[1]Datasheet_2!$A$2:$H$611,4,FALSE)</f>
        <v>0.44</v>
      </c>
      <c r="L486" s="8">
        <f>VLOOKUP(A486,[1]Datasheet_2!$A$2:$H$611,5,FALSE)</f>
        <v>0.22389999999999999</v>
      </c>
      <c r="M486" s="8">
        <f>VLOOKUP(A486,[1]Datasheet_2!$A$2:$H$611,6,FALSE)</f>
        <v>0</v>
      </c>
      <c r="N486" s="8">
        <f>VLOOKUP(A486,[1]Datasheet_2!$A$2:$H$611,7,FALSE)</f>
        <v>2</v>
      </c>
      <c r="O486" s="9">
        <f>VLOOKUP(A486,[1]Datasheet_2!$A$2:$H$611,8,FALSE)</f>
        <v>2</v>
      </c>
    </row>
    <row r="487" spans="1:15" x14ac:dyDescent="0.3">
      <c r="A487" s="4">
        <v>486</v>
      </c>
      <c r="B487" s="5">
        <v>40565</v>
      </c>
      <c r="C487" s="4">
        <v>1</v>
      </c>
      <c r="D487" s="4">
        <v>7</v>
      </c>
      <c r="E487" s="4" t="b">
        <v>0</v>
      </c>
      <c r="F487" s="4">
        <v>6</v>
      </c>
      <c r="G487" s="4">
        <v>1</v>
      </c>
      <c r="H487" s="4">
        <v>0.02</v>
      </c>
      <c r="I487">
        <f>VLOOKUP(A487,[1]Datasheet_2!$A$2:$H$611,2,FALSE)</f>
        <v>485</v>
      </c>
      <c r="J487">
        <f>VLOOKUP(A487,[1]Datasheet_2!$A$2:$H$611,3,FALSE)</f>
        <v>1.52E-2</v>
      </c>
      <c r="K487" s="9">
        <f>VLOOKUP(A487,[1]Datasheet_2!$A$2:$H$611,4,FALSE)</f>
        <v>0.44</v>
      </c>
      <c r="L487" s="8">
        <f>VLOOKUP(A487,[1]Datasheet_2!$A$2:$H$611,5,FALSE)</f>
        <v>0.28360000000000002</v>
      </c>
      <c r="M487" s="8">
        <f>VLOOKUP(A487,[1]Datasheet_2!$A$2:$H$611,6,FALSE)</f>
        <v>0</v>
      </c>
      <c r="N487" s="8">
        <f>VLOOKUP(A487,[1]Datasheet_2!$A$2:$H$611,7,FALSE)</f>
        <v>8</v>
      </c>
      <c r="O487" s="9">
        <f>VLOOKUP(A487,[1]Datasheet_2!$A$2:$H$611,8,FALSE)</f>
        <v>8</v>
      </c>
    </row>
    <row r="488" spans="1:15" x14ac:dyDescent="0.3">
      <c r="A488" s="4">
        <v>487</v>
      </c>
      <c r="B488" s="5">
        <v>40565</v>
      </c>
      <c r="C488" s="4">
        <v>1</v>
      </c>
      <c r="D488" s="4">
        <v>8</v>
      </c>
      <c r="E488" s="4" t="b">
        <v>0</v>
      </c>
      <c r="F488" s="4">
        <v>6</v>
      </c>
      <c r="G488" s="4">
        <v>1</v>
      </c>
      <c r="H488" s="4">
        <v>0.02</v>
      </c>
      <c r="I488">
        <f>VLOOKUP(A488,[1]Datasheet_2!$A$2:$H$611,2,FALSE)</f>
        <v>486</v>
      </c>
      <c r="J488">
        <f>VLOOKUP(A488,[1]Datasheet_2!$A$2:$H$611,3,FALSE)</f>
        <v>0</v>
      </c>
      <c r="K488" s="9">
        <f>VLOOKUP(A488,[1]Datasheet_2!$A$2:$H$611,4,FALSE)</f>
        <v>0.44</v>
      </c>
      <c r="L488" s="8">
        <f>VLOOKUP(A488,[1]Datasheet_2!$A$2:$H$611,5,FALSE)</f>
        <v>0.32840000000000003</v>
      </c>
      <c r="M488" s="8">
        <f>VLOOKUP(A488,[1]Datasheet_2!$A$2:$H$611,6,FALSE)</f>
        <v>1</v>
      </c>
      <c r="N488" s="8">
        <f>VLOOKUP(A488,[1]Datasheet_2!$A$2:$H$611,7,FALSE)</f>
        <v>26</v>
      </c>
      <c r="O488" s="9">
        <f>VLOOKUP(A488,[1]Datasheet_2!$A$2:$H$611,8,FALSE)</f>
        <v>27</v>
      </c>
    </row>
    <row r="489" spans="1:15" x14ac:dyDescent="0.3">
      <c r="A489" s="4">
        <v>488</v>
      </c>
      <c r="B489" s="5">
        <v>40565</v>
      </c>
      <c r="C489" s="4">
        <v>1</v>
      </c>
      <c r="D489" s="4">
        <v>9</v>
      </c>
      <c r="E489" s="4" t="b">
        <v>0</v>
      </c>
      <c r="F489" s="4">
        <v>6</v>
      </c>
      <c r="G489" s="4">
        <v>1</v>
      </c>
      <c r="H489" s="4">
        <v>0.04</v>
      </c>
      <c r="I489">
        <f>VLOOKUP(A489,[1]Datasheet_2!$A$2:$H$611,2,FALSE)</f>
        <v>487</v>
      </c>
      <c r="J489">
        <f>VLOOKUP(A489,[1]Datasheet_2!$A$2:$H$611,3,FALSE)</f>
        <v>3.0300000000000001E-2</v>
      </c>
      <c r="K489" s="9">
        <f>VLOOKUP(A489,[1]Datasheet_2!$A$2:$H$611,4,FALSE)</f>
        <v>0.41</v>
      </c>
      <c r="L489" s="8">
        <f>VLOOKUP(A489,[1]Datasheet_2!$A$2:$H$611,5,FALSE)</f>
        <v>0.25369999999999998</v>
      </c>
      <c r="M489" s="8">
        <f>VLOOKUP(A489,[1]Datasheet_2!$A$2:$H$611,6,FALSE)</f>
        <v>3</v>
      </c>
      <c r="N489" s="8">
        <f>VLOOKUP(A489,[1]Datasheet_2!$A$2:$H$611,7,FALSE)</f>
        <v>37</v>
      </c>
      <c r="O489" s="9">
        <f>VLOOKUP(A489,[1]Datasheet_2!$A$2:$H$611,8,FALSE)</f>
        <v>40</v>
      </c>
    </row>
    <row r="490" spans="1:15" x14ac:dyDescent="0.3">
      <c r="A490" s="4">
        <v>489</v>
      </c>
      <c r="B490" s="5">
        <v>40565</v>
      </c>
      <c r="C490" s="4">
        <v>1</v>
      </c>
      <c r="D490" s="4">
        <v>10</v>
      </c>
      <c r="E490" s="4" t="b">
        <v>0</v>
      </c>
      <c r="F490" s="4">
        <v>6</v>
      </c>
      <c r="G490" s="4">
        <v>2</v>
      </c>
      <c r="H490" s="4">
        <v>0.04</v>
      </c>
      <c r="I490">
        <f>VLOOKUP(A490,[1]Datasheet_2!$A$2:$H$611,2,FALSE)</f>
        <v>488</v>
      </c>
      <c r="J490">
        <f>VLOOKUP(A490,[1]Datasheet_2!$A$2:$H$611,3,FALSE)</f>
        <v>6.0600000000000001E-2</v>
      </c>
      <c r="K490" s="9">
        <f>VLOOKUP(A490,[1]Datasheet_2!$A$2:$H$611,4,FALSE)</f>
        <v>0.41</v>
      </c>
      <c r="L490" s="8">
        <f>VLOOKUP(A490,[1]Datasheet_2!$A$2:$H$611,5,FALSE)</f>
        <v>0.16420000000000001</v>
      </c>
      <c r="M490" s="8">
        <f>VLOOKUP(A490,[1]Datasheet_2!$A$2:$H$611,6,FALSE)</f>
        <v>3</v>
      </c>
      <c r="N490" s="8">
        <f>VLOOKUP(A490,[1]Datasheet_2!$A$2:$H$611,7,FALSE)</f>
        <v>50</v>
      </c>
      <c r="O490" s="9">
        <f>VLOOKUP(A490,[1]Datasheet_2!$A$2:$H$611,8,FALSE)</f>
        <v>53</v>
      </c>
    </row>
    <row r="491" spans="1:15" x14ac:dyDescent="0.3">
      <c r="A491" s="4">
        <v>490</v>
      </c>
      <c r="B491" s="5">
        <v>40565</v>
      </c>
      <c r="C491" s="4">
        <v>1</v>
      </c>
      <c r="D491" s="4">
        <v>11</v>
      </c>
      <c r="E491" s="4" t="b">
        <v>0</v>
      </c>
      <c r="F491" s="4">
        <v>6</v>
      </c>
      <c r="G491" s="4">
        <v>2</v>
      </c>
      <c r="H491" s="4">
        <v>0.06</v>
      </c>
      <c r="I491">
        <f>VLOOKUP(A491,[1]Datasheet_2!$A$2:$H$611,2,FALSE)</f>
        <v>489</v>
      </c>
      <c r="J491">
        <f>VLOOKUP(A491,[1]Datasheet_2!$A$2:$H$611,3,FALSE)</f>
        <v>7.5800000000000006E-2</v>
      </c>
      <c r="K491" s="9">
        <f>VLOOKUP(A491,[1]Datasheet_2!$A$2:$H$611,4,FALSE)</f>
        <v>0.38</v>
      </c>
      <c r="L491" s="8">
        <f>VLOOKUP(A491,[1]Datasheet_2!$A$2:$H$611,5,FALSE)</f>
        <v>0.1343</v>
      </c>
      <c r="M491" s="8">
        <f>VLOOKUP(A491,[1]Datasheet_2!$A$2:$H$611,6,FALSE)</f>
        <v>4</v>
      </c>
      <c r="N491" s="8">
        <f>VLOOKUP(A491,[1]Datasheet_2!$A$2:$H$611,7,FALSE)</f>
        <v>59</v>
      </c>
      <c r="O491" s="9">
        <f>VLOOKUP(A491,[1]Datasheet_2!$A$2:$H$611,8,FALSE)</f>
        <v>63</v>
      </c>
    </row>
    <row r="492" spans="1:15" x14ac:dyDescent="0.3">
      <c r="A492" s="4">
        <v>491</v>
      </c>
      <c r="B492" s="5">
        <v>40565</v>
      </c>
      <c r="C492" s="4">
        <v>1</v>
      </c>
      <c r="D492" s="4">
        <v>12</v>
      </c>
      <c r="E492" s="4" t="b">
        <v>0</v>
      </c>
      <c r="F492" s="4">
        <v>6</v>
      </c>
      <c r="G492" s="4">
        <v>2</v>
      </c>
      <c r="H492" s="4">
        <v>0.06</v>
      </c>
      <c r="I492">
        <f>VLOOKUP(A492,[1]Datasheet_2!$A$2:$H$611,2,FALSE)</f>
        <v>490</v>
      </c>
      <c r="J492">
        <f>VLOOKUP(A492,[1]Datasheet_2!$A$2:$H$611,3,FALSE)</f>
        <v>0.1061</v>
      </c>
      <c r="K492" s="9">
        <f>VLOOKUP(A492,[1]Datasheet_2!$A$2:$H$611,4,FALSE)</f>
        <v>0.38</v>
      </c>
      <c r="L492" s="8">
        <f>VLOOKUP(A492,[1]Datasheet_2!$A$2:$H$611,5,FALSE)</f>
        <v>0.1045</v>
      </c>
      <c r="M492" s="8">
        <f>VLOOKUP(A492,[1]Datasheet_2!$A$2:$H$611,6,FALSE)</f>
        <v>10</v>
      </c>
      <c r="N492" s="8">
        <f>VLOOKUP(A492,[1]Datasheet_2!$A$2:$H$611,7,FALSE)</f>
        <v>60</v>
      </c>
      <c r="O492" s="9">
        <f>VLOOKUP(A492,[1]Datasheet_2!$A$2:$H$611,8,FALSE)</f>
        <v>70</v>
      </c>
    </row>
    <row r="493" spans="1:15" x14ac:dyDescent="0.3">
      <c r="A493" s="4">
        <v>492</v>
      </c>
      <c r="B493" s="5">
        <v>40565</v>
      </c>
      <c r="C493" s="4">
        <v>1</v>
      </c>
      <c r="D493" s="4">
        <v>13</v>
      </c>
      <c r="E493" s="4" t="b">
        <v>0</v>
      </c>
      <c r="F493" s="4">
        <v>6</v>
      </c>
      <c r="G493" s="4">
        <v>1</v>
      </c>
      <c r="H493" s="4">
        <v>0.08</v>
      </c>
      <c r="I493">
        <f>VLOOKUP(A493,[1]Datasheet_2!$A$2:$H$611,2,FALSE)</f>
        <v>491</v>
      </c>
      <c r="J493">
        <f>VLOOKUP(A493,[1]Datasheet_2!$A$2:$H$611,3,FALSE)</f>
        <v>0.16669999999999999</v>
      </c>
      <c r="K493" s="9">
        <f>VLOOKUP(A493,[1]Datasheet_2!$A$2:$H$611,4,FALSE)</f>
        <v>0.35</v>
      </c>
      <c r="L493" s="8">
        <f>VLOOKUP(A493,[1]Datasheet_2!$A$2:$H$611,5,FALSE)</f>
        <v>0</v>
      </c>
      <c r="M493" s="8">
        <f>VLOOKUP(A493,[1]Datasheet_2!$A$2:$H$611,6,FALSE)</f>
        <v>12</v>
      </c>
      <c r="N493" s="8">
        <f>VLOOKUP(A493,[1]Datasheet_2!$A$2:$H$611,7,FALSE)</f>
        <v>72</v>
      </c>
      <c r="O493" s="9">
        <f>VLOOKUP(A493,[1]Datasheet_2!$A$2:$H$611,8,FALSE)</f>
        <v>84</v>
      </c>
    </row>
    <row r="494" spans="1:15" x14ac:dyDescent="0.3">
      <c r="A494" s="4">
        <v>493</v>
      </c>
      <c r="B494" s="5">
        <v>40565</v>
      </c>
      <c r="C494" s="4">
        <v>1</v>
      </c>
      <c r="D494" s="4">
        <v>14</v>
      </c>
      <c r="E494" s="4" t="b">
        <v>0</v>
      </c>
      <c r="F494" s="4">
        <v>6</v>
      </c>
      <c r="G494" s="4">
        <v>1</v>
      </c>
      <c r="H494" s="4">
        <v>0.1</v>
      </c>
      <c r="I494">
        <f>VLOOKUP(A494,[1]Datasheet_2!$A$2:$H$611,2,FALSE)</f>
        <v>492</v>
      </c>
      <c r="J494">
        <f>VLOOKUP(A494,[1]Datasheet_2!$A$2:$H$611,3,FALSE)</f>
        <v>0.13639999999999999</v>
      </c>
      <c r="K494" s="9">
        <f>VLOOKUP(A494,[1]Datasheet_2!$A$2:$H$611,4,FALSE)</f>
        <v>0.33</v>
      </c>
      <c r="L494" s="8">
        <f>VLOOKUP(A494,[1]Datasheet_2!$A$2:$H$611,5,FALSE)</f>
        <v>0.1045</v>
      </c>
      <c r="M494" s="8">
        <f>VLOOKUP(A494,[1]Datasheet_2!$A$2:$H$611,6,FALSE)</f>
        <v>11</v>
      </c>
      <c r="N494" s="8">
        <f>VLOOKUP(A494,[1]Datasheet_2!$A$2:$H$611,7,FALSE)</f>
        <v>64</v>
      </c>
      <c r="O494" s="9">
        <f>VLOOKUP(A494,[1]Datasheet_2!$A$2:$H$611,8,FALSE)</f>
        <v>75</v>
      </c>
    </row>
    <row r="495" spans="1:15" x14ac:dyDescent="0.3">
      <c r="A495" s="4">
        <v>494</v>
      </c>
      <c r="B495" s="5">
        <v>40565</v>
      </c>
      <c r="C495" s="4">
        <v>1</v>
      </c>
      <c r="D495" s="4">
        <v>15</v>
      </c>
      <c r="E495" s="4" t="b">
        <v>0</v>
      </c>
      <c r="F495" s="4">
        <v>6</v>
      </c>
      <c r="G495" s="4">
        <v>1</v>
      </c>
      <c r="H495" s="4">
        <v>0.12</v>
      </c>
      <c r="I495">
        <f>VLOOKUP(A495,[1]Datasheet_2!$A$2:$H$611,2,FALSE)</f>
        <v>493</v>
      </c>
      <c r="J495">
        <f>VLOOKUP(A495,[1]Datasheet_2!$A$2:$H$611,3,FALSE)</f>
        <v>0.1515</v>
      </c>
      <c r="K495" s="9">
        <f>VLOOKUP(A495,[1]Datasheet_2!$A$2:$H$611,4,FALSE)</f>
        <v>0.28000000000000003</v>
      </c>
      <c r="L495" s="8">
        <f>VLOOKUP(A495,[1]Datasheet_2!$A$2:$H$611,5,FALSE)</f>
        <v>0</v>
      </c>
      <c r="M495" s="8">
        <f>VLOOKUP(A495,[1]Datasheet_2!$A$2:$H$611,6,FALSE)</f>
        <v>10</v>
      </c>
      <c r="N495" s="8">
        <f>VLOOKUP(A495,[1]Datasheet_2!$A$2:$H$611,7,FALSE)</f>
        <v>93</v>
      </c>
      <c r="O495" s="9">
        <f>VLOOKUP(A495,[1]Datasheet_2!$A$2:$H$611,8,FALSE)</f>
        <v>103</v>
      </c>
    </row>
    <row r="496" spans="1:15" x14ac:dyDescent="0.3">
      <c r="A496" s="4">
        <v>495</v>
      </c>
      <c r="B496" s="5">
        <v>40565</v>
      </c>
      <c r="C496" s="4">
        <v>1</v>
      </c>
      <c r="D496" s="4">
        <v>16</v>
      </c>
      <c r="E496" s="4" t="b">
        <v>0</v>
      </c>
      <c r="F496" s="4">
        <v>6</v>
      </c>
      <c r="G496" s="4">
        <v>1</v>
      </c>
      <c r="H496" s="4">
        <v>0.12</v>
      </c>
      <c r="I496">
        <f>VLOOKUP(A496,[1]Datasheet_2!$A$2:$H$611,2,FALSE)</f>
        <v>494</v>
      </c>
      <c r="J496">
        <f>VLOOKUP(A496,[1]Datasheet_2!$A$2:$H$611,3,FALSE)</f>
        <v>0.13639999999999999</v>
      </c>
      <c r="K496" s="9">
        <f>VLOOKUP(A496,[1]Datasheet_2!$A$2:$H$611,4,FALSE)</f>
        <v>0.28000000000000003</v>
      </c>
      <c r="L496" s="8">
        <f>VLOOKUP(A496,[1]Datasheet_2!$A$2:$H$611,5,FALSE)</f>
        <v>0.19400000000000001</v>
      </c>
      <c r="M496" s="8">
        <f>VLOOKUP(A496,[1]Datasheet_2!$A$2:$H$611,6,FALSE)</f>
        <v>11</v>
      </c>
      <c r="N496" s="8">
        <f>VLOOKUP(A496,[1]Datasheet_2!$A$2:$H$611,7,FALSE)</f>
        <v>72</v>
      </c>
      <c r="O496" s="9">
        <f>VLOOKUP(A496,[1]Datasheet_2!$A$2:$H$611,8,FALSE)</f>
        <v>83</v>
      </c>
    </row>
    <row r="497" spans="1:15" x14ac:dyDescent="0.3">
      <c r="A497" s="4">
        <v>496</v>
      </c>
      <c r="B497" s="5">
        <v>40565</v>
      </c>
      <c r="C497" s="4">
        <v>1</v>
      </c>
      <c r="D497" s="4">
        <v>17</v>
      </c>
      <c r="E497" s="4" t="b">
        <v>0</v>
      </c>
      <c r="F497" s="4">
        <v>6</v>
      </c>
      <c r="G497" s="4">
        <v>1</v>
      </c>
      <c r="H497" s="4">
        <v>0.12</v>
      </c>
      <c r="I497">
        <f>VLOOKUP(A497,[1]Datasheet_2!$A$2:$H$611,2,FALSE)</f>
        <v>495</v>
      </c>
      <c r="J497">
        <f>VLOOKUP(A497,[1]Datasheet_2!$A$2:$H$611,3,FALSE)</f>
        <v>0.19700000000000001</v>
      </c>
      <c r="K497" s="9">
        <f>VLOOKUP(A497,[1]Datasheet_2!$A$2:$H$611,4,FALSE)</f>
        <v>0.28000000000000003</v>
      </c>
      <c r="L497" s="8">
        <f>VLOOKUP(A497,[1]Datasheet_2!$A$2:$H$611,5,FALSE)</f>
        <v>0</v>
      </c>
      <c r="M497" s="8">
        <f>VLOOKUP(A497,[1]Datasheet_2!$A$2:$H$611,6,FALSE)</f>
        <v>8</v>
      </c>
      <c r="N497" s="8">
        <f>VLOOKUP(A497,[1]Datasheet_2!$A$2:$H$611,7,FALSE)</f>
        <v>59</v>
      </c>
      <c r="O497" s="9">
        <f>VLOOKUP(A497,[1]Datasheet_2!$A$2:$H$611,8,FALSE)</f>
        <v>67</v>
      </c>
    </row>
    <row r="498" spans="1:15" x14ac:dyDescent="0.3">
      <c r="A498" s="4">
        <v>497</v>
      </c>
      <c r="B498" s="5">
        <v>40565</v>
      </c>
      <c r="C498" s="4">
        <v>1</v>
      </c>
      <c r="D498" s="4">
        <v>18</v>
      </c>
      <c r="E498" s="4" t="b">
        <v>0</v>
      </c>
      <c r="F498" s="4">
        <v>6</v>
      </c>
      <c r="G498" s="4">
        <v>1</v>
      </c>
      <c r="H498" s="4">
        <v>0.08</v>
      </c>
      <c r="I498">
        <f>VLOOKUP(A498,[1]Datasheet_2!$A$2:$H$611,2,FALSE)</f>
        <v>496</v>
      </c>
      <c r="J498">
        <f>VLOOKUP(A498,[1]Datasheet_2!$A$2:$H$611,3,FALSE)</f>
        <v>9.0899999999999995E-2</v>
      </c>
      <c r="K498" s="9">
        <f>VLOOKUP(A498,[1]Datasheet_2!$A$2:$H$611,4,FALSE)</f>
        <v>0.35</v>
      </c>
      <c r="L498" s="8">
        <f>VLOOKUP(A498,[1]Datasheet_2!$A$2:$H$611,5,FALSE)</f>
        <v>0.19400000000000001</v>
      </c>
      <c r="M498" s="8">
        <f>VLOOKUP(A498,[1]Datasheet_2!$A$2:$H$611,6,FALSE)</f>
        <v>0</v>
      </c>
      <c r="N498" s="8">
        <f>VLOOKUP(A498,[1]Datasheet_2!$A$2:$H$611,7,FALSE)</f>
        <v>54</v>
      </c>
      <c r="O498" s="9">
        <f>VLOOKUP(A498,[1]Datasheet_2!$A$2:$H$611,8,FALSE)</f>
        <v>54</v>
      </c>
    </row>
    <row r="499" spans="1:15" x14ac:dyDescent="0.3">
      <c r="A499" s="4">
        <v>498</v>
      </c>
      <c r="B499" s="5">
        <v>40565</v>
      </c>
      <c r="C499" s="4">
        <v>1</v>
      </c>
      <c r="D499" s="4">
        <v>19</v>
      </c>
      <c r="E499" s="4" t="b">
        <v>0</v>
      </c>
      <c r="F499" s="4">
        <v>6</v>
      </c>
      <c r="G499" s="4">
        <v>1</v>
      </c>
      <c r="H499" s="4">
        <v>0.08</v>
      </c>
      <c r="I499">
        <f>VLOOKUP(A499,[1]Datasheet_2!$A$2:$H$611,2,FALSE)</f>
        <v>497</v>
      </c>
      <c r="J499">
        <f>VLOOKUP(A499,[1]Datasheet_2!$A$2:$H$611,3,FALSE)</f>
        <v>0.1061</v>
      </c>
      <c r="K499" s="9">
        <f>VLOOKUP(A499,[1]Datasheet_2!$A$2:$H$611,4,FALSE)</f>
        <v>0.35</v>
      </c>
      <c r="L499" s="8">
        <f>VLOOKUP(A499,[1]Datasheet_2!$A$2:$H$611,5,FALSE)</f>
        <v>0.1343</v>
      </c>
      <c r="M499" s="8">
        <f>VLOOKUP(A499,[1]Datasheet_2!$A$2:$H$611,6,FALSE)</f>
        <v>6</v>
      </c>
      <c r="N499" s="8">
        <f>VLOOKUP(A499,[1]Datasheet_2!$A$2:$H$611,7,FALSE)</f>
        <v>53</v>
      </c>
      <c r="O499" s="9">
        <f>VLOOKUP(A499,[1]Datasheet_2!$A$2:$H$611,8,FALSE)</f>
        <v>59</v>
      </c>
    </row>
    <row r="500" spans="1:15" x14ac:dyDescent="0.3">
      <c r="A500" s="4">
        <v>499</v>
      </c>
      <c r="B500" s="5">
        <v>40565</v>
      </c>
      <c r="C500" s="4">
        <v>1</v>
      </c>
      <c r="D500" s="4">
        <v>20</v>
      </c>
      <c r="E500" s="4" t="b">
        <v>0</v>
      </c>
      <c r="F500" s="4">
        <v>6</v>
      </c>
      <c r="G500" s="4">
        <v>1</v>
      </c>
      <c r="H500" s="4">
        <v>0.06</v>
      </c>
      <c r="I500">
        <f>VLOOKUP(A500,[1]Datasheet_2!$A$2:$H$611,2,FALSE)</f>
        <v>498</v>
      </c>
      <c r="J500">
        <f>VLOOKUP(A500,[1]Datasheet_2!$A$2:$H$611,3,FALSE)</f>
        <v>7.5800000000000006E-2</v>
      </c>
      <c r="K500" s="9">
        <f>VLOOKUP(A500,[1]Datasheet_2!$A$2:$H$611,4,FALSE)</f>
        <v>0.45</v>
      </c>
      <c r="L500" s="8">
        <f>VLOOKUP(A500,[1]Datasheet_2!$A$2:$H$611,5,FALSE)</f>
        <v>0.16420000000000001</v>
      </c>
      <c r="M500" s="8">
        <f>VLOOKUP(A500,[1]Datasheet_2!$A$2:$H$611,6,FALSE)</f>
        <v>1</v>
      </c>
      <c r="N500" s="8">
        <f>VLOOKUP(A500,[1]Datasheet_2!$A$2:$H$611,7,FALSE)</f>
        <v>44</v>
      </c>
      <c r="O500" s="9">
        <f>VLOOKUP(A500,[1]Datasheet_2!$A$2:$H$611,8,FALSE)</f>
        <v>45</v>
      </c>
    </row>
    <row r="501" spans="1:15" x14ac:dyDescent="0.3">
      <c r="A501" s="4">
        <v>500</v>
      </c>
      <c r="B501" s="5">
        <v>40565</v>
      </c>
      <c r="C501" s="4">
        <v>1</v>
      </c>
      <c r="D501" s="4">
        <v>21</v>
      </c>
      <c r="E501" s="4" t="b">
        <v>0</v>
      </c>
      <c r="F501" s="4">
        <v>6</v>
      </c>
      <c r="G501" s="4">
        <v>1</v>
      </c>
      <c r="H501" s="4">
        <v>0.06</v>
      </c>
      <c r="I501">
        <f>VLOOKUP(A501,[1]Datasheet_2!$A$2:$H$611,2,FALSE)</f>
        <v>499</v>
      </c>
      <c r="J501">
        <f>VLOOKUP(A501,[1]Datasheet_2!$A$2:$H$611,3,FALSE)</f>
        <v>0.1061</v>
      </c>
      <c r="K501" s="9">
        <f>VLOOKUP(A501,[1]Datasheet_2!$A$2:$H$611,4,FALSE)</f>
        <v>0.41</v>
      </c>
      <c r="L501" s="8">
        <f>VLOOKUP(A501,[1]Datasheet_2!$A$2:$H$611,5,FALSE)</f>
        <v>8.9599999999999999E-2</v>
      </c>
      <c r="M501" s="8">
        <f>VLOOKUP(A501,[1]Datasheet_2!$A$2:$H$611,6,FALSE)</f>
        <v>0</v>
      </c>
      <c r="N501" s="8">
        <f>VLOOKUP(A501,[1]Datasheet_2!$A$2:$H$611,7,FALSE)</f>
        <v>39</v>
      </c>
      <c r="O501" s="9">
        <f>VLOOKUP(A501,[1]Datasheet_2!$A$2:$H$611,8,FALSE)</f>
        <v>39</v>
      </c>
    </row>
    <row r="502" spans="1:15" x14ac:dyDescent="0.3">
      <c r="A502" s="4">
        <v>501</v>
      </c>
      <c r="B502" s="5">
        <v>40565</v>
      </c>
      <c r="C502" s="4">
        <v>1</v>
      </c>
      <c r="D502" s="4">
        <v>22</v>
      </c>
      <c r="E502" s="4" t="b">
        <v>0</v>
      </c>
      <c r="F502" s="4">
        <v>6</v>
      </c>
      <c r="G502" s="4">
        <v>1</v>
      </c>
      <c r="H502" s="4">
        <v>0.06</v>
      </c>
      <c r="I502">
        <f>VLOOKUP(A502,[1]Datasheet_2!$A$2:$H$611,2,FALSE)</f>
        <v>500</v>
      </c>
      <c r="J502">
        <f>VLOOKUP(A502,[1]Datasheet_2!$A$2:$H$611,3,FALSE)</f>
        <v>0.1515</v>
      </c>
      <c r="K502" s="9">
        <f>VLOOKUP(A502,[1]Datasheet_2!$A$2:$H$611,4,FALSE)</f>
        <v>0.49</v>
      </c>
      <c r="L502" s="8">
        <f>VLOOKUP(A502,[1]Datasheet_2!$A$2:$H$611,5,FALSE)</f>
        <v>0</v>
      </c>
      <c r="M502" s="8">
        <f>VLOOKUP(A502,[1]Datasheet_2!$A$2:$H$611,6,FALSE)</f>
        <v>7</v>
      </c>
      <c r="N502" s="8">
        <f>VLOOKUP(A502,[1]Datasheet_2!$A$2:$H$611,7,FALSE)</f>
        <v>23</v>
      </c>
      <c r="O502" s="9">
        <f>VLOOKUP(A502,[1]Datasheet_2!$A$2:$H$611,8,FALSE)</f>
        <v>30</v>
      </c>
    </row>
    <row r="503" spans="1:15" x14ac:dyDescent="0.3">
      <c r="A503" s="4">
        <v>502</v>
      </c>
      <c r="B503" s="5">
        <v>40565</v>
      </c>
      <c r="C503" s="4">
        <v>1</v>
      </c>
      <c r="D503" s="4">
        <v>23</v>
      </c>
      <c r="E503" s="4" t="b">
        <v>0</v>
      </c>
      <c r="F503" s="4">
        <v>6</v>
      </c>
      <c r="G503" s="4">
        <v>1</v>
      </c>
      <c r="H503" s="4">
        <v>0.04</v>
      </c>
      <c r="I503">
        <f>VLOOKUP(A503,[1]Datasheet_2!$A$2:$H$611,2,FALSE)</f>
        <v>501</v>
      </c>
      <c r="J503">
        <f>VLOOKUP(A503,[1]Datasheet_2!$A$2:$H$611,3,FALSE)</f>
        <v>7.5800000000000006E-2</v>
      </c>
      <c r="K503" s="9">
        <f>VLOOKUP(A503,[1]Datasheet_2!$A$2:$H$611,4,FALSE)</f>
        <v>0.56999999999999995</v>
      </c>
      <c r="L503" s="8">
        <f>VLOOKUP(A503,[1]Datasheet_2!$A$2:$H$611,5,FALSE)</f>
        <v>0.1045</v>
      </c>
      <c r="M503" s="8">
        <f>VLOOKUP(A503,[1]Datasheet_2!$A$2:$H$611,6,FALSE)</f>
        <v>2</v>
      </c>
      <c r="N503" s="8">
        <f>VLOOKUP(A503,[1]Datasheet_2!$A$2:$H$611,7,FALSE)</f>
        <v>31</v>
      </c>
      <c r="O503" s="9">
        <f>VLOOKUP(A503,[1]Datasheet_2!$A$2:$H$611,8,FALSE)</f>
        <v>33</v>
      </c>
    </row>
    <row r="504" spans="1:15" x14ac:dyDescent="0.3">
      <c r="A504" s="4">
        <v>503</v>
      </c>
      <c r="B504" s="5">
        <v>40566</v>
      </c>
      <c r="C504" s="4">
        <v>1</v>
      </c>
      <c r="D504" s="4">
        <v>0</v>
      </c>
      <c r="E504" s="4" t="b">
        <v>0</v>
      </c>
      <c r="F504" s="4">
        <v>0</v>
      </c>
      <c r="G504" s="4">
        <v>1</v>
      </c>
      <c r="H504" s="4">
        <v>0.04</v>
      </c>
      <c r="I504">
        <f>VLOOKUP(A504,[1]Datasheet_2!$A$2:$H$611,2,FALSE)</f>
        <v>502</v>
      </c>
      <c r="J504">
        <f>VLOOKUP(A504,[1]Datasheet_2!$A$2:$H$611,3,FALSE)</f>
        <v>7.5800000000000006E-2</v>
      </c>
      <c r="K504" s="9">
        <f>VLOOKUP(A504,[1]Datasheet_2!$A$2:$H$611,4,FALSE)</f>
        <v>0.56999999999999995</v>
      </c>
      <c r="L504" s="8">
        <f>VLOOKUP(A504,[1]Datasheet_2!$A$2:$H$611,5,FALSE)</f>
        <v>0.1045</v>
      </c>
      <c r="M504" s="8">
        <f>VLOOKUP(A504,[1]Datasheet_2!$A$2:$H$611,6,FALSE)</f>
        <v>2</v>
      </c>
      <c r="N504" s="8">
        <f>VLOOKUP(A504,[1]Datasheet_2!$A$2:$H$611,7,FALSE)</f>
        <v>20</v>
      </c>
      <c r="O504" s="9">
        <f>VLOOKUP(A504,[1]Datasheet_2!$A$2:$H$611,8,FALSE)</f>
        <v>22</v>
      </c>
    </row>
    <row r="505" spans="1:15" x14ac:dyDescent="0.3">
      <c r="A505" s="4">
        <v>504</v>
      </c>
      <c r="B505" s="5">
        <v>40566</v>
      </c>
      <c r="C505" s="4">
        <v>1</v>
      </c>
      <c r="D505" s="4">
        <v>1</v>
      </c>
      <c r="E505" s="4" t="b">
        <v>0</v>
      </c>
      <c r="F505" s="4">
        <v>0</v>
      </c>
      <c r="G505" s="4">
        <v>1</v>
      </c>
      <c r="H505" s="4">
        <v>0.04</v>
      </c>
      <c r="I505">
        <f>VLOOKUP(A505,[1]Datasheet_2!$A$2:$H$611,2,FALSE)</f>
        <v>503</v>
      </c>
      <c r="J505">
        <f>VLOOKUP(A505,[1]Datasheet_2!$A$2:$H$611,3,FALSE)</f>
        <v>7.5800000000000006E-2</v>
      </c>
      <c r="K505" s="9">
        <f>VLOOKUP(A505,[1]Datasheet_2!$A$2:$H$611,4,FALSE)</f>
        <v>0.56999999999999995</v>
      </c>
      <c r="L505" s="8">
        <f>VLOOKUP(A505,[1]Datasheet_2!$A$2:$H$611,5,FALSE)</f>
        <v>0.1045</v>
      </c>
      <c r="M505" s="8">
        <f>VLOOKUP(A505,[1]Datasheet_2!$A$2:$H$611,6,FALSE)</f>
        <v>1</v>
      </c>
      <c r="N505" s="8">
        <f>VLOOKUP(A505,[1]Datasheet_2!$A$2:$H$611,7,FALSE)</f>
        <v>12</v>
      </c>
      <c r="O505" s="9">
        <f>VLOOKUP(A505,[1]Datasheet_2!$A$2:$H$611,8,FALSE)</f>
        <v>13</v>
      </c>
    </row>
    <row r="506" spans="1:15" x14ac:dyDescent="0.3">
      <c r="A506" s="4">
        <v>505</v>
      </c>
      <c r="B506" s="5">
        <v>40566</v>
      </c>
      <c r="C506" s="4">
        <v>1</v>
      </c>
      <c r="D506" s="4">
        <v>2</v>
      </c>
      <c r="E506" s="4" t="b">
        <v>0</v>
      </c>
      <c r="F506" s="4">
        <v>0</v>
      </c>
      <c r="G506" s="4">
        <v>1</v>
      </c>
      <c r="H506" s="4">
        <v>0.02</v>
      </c>
      <c r="I506">
        <f>VLOOKUP(A506,[1]Datasheet_2!$A$2:$H$611,2,FALSE)</f>
        <v>504</v>
      </c>
      <c r="J506">
        <f>VLOOKUP(A506,[1]Datasheet_2!$A$2:$H$611,3,FALSE)</f>
        <v>6.0600000000000001E-2</v>
      </c>
      <c r="K506" s="9">
        <f>VLOOKUP(A506,[1]Datasheet_2!$A$2:$H$611,4,FALSE)</f>
        <v>0.62</v>
      </c>
      <c r="L506" s="8">
        <f>VLOOKUP(A506,[1]Datasheet_2!$A$2:$H$611,5,FALSE)</f>
        <v>0.1343</v>
      </c>
      <c r="M506" s="8">
        <f>VLOOKUP(A506,[1]Datasheet_2!$A$2:$H$611,6,FALSE)</f>
        <v>3</v>
      </c>
      <c r="N506" s="8">
        <f>VLOOKUP(A506,[1]Datasheet_2!$A$2:$H$611,7,FALSE)</f>
        <v>15</v>
      </c>
      <c r="O506" s="9">
        <f>VLOOKUP(A506,[1]Datasheet_2!$A$2:$H$611,8,FALSE)</f>
        <v>18</v>
      </c>
    </row>
    <row r="507" spans="1:15" x14ac:dyDescent="0.3">
      <c r="A507" s="4">
        <v>506</v>
      </c>
      <c r="B507" s="5">
        <v>40566</v>
      </c>
      <c r="C507" s="4">
        <v>1</v>
      </c>
      <c r="D507" s="4">
        <v>3</v>
      </c>
      <c r="E507" s="4" t="b">
        <v>0</v>
      </c>
      <c r="F507" s="4">
        <v>0</v>
      </c>
      <c r="G507" s="4">
        <v>1</v>
      </c>
      <c r="H507" s="4">
        <v>0.02</v>
      </c>
      <c r="I507">
        <f>VLOOKUP(A507,[1]Datasheet_2!$A$2:$H$611,2,FALSE)</f>
        <v>505</v>
      </c>
      <c r="J507">
        <f>VLOOKUP(A507,[1]Datasheet_2!$A$2:$H$611,3,FALSE)</f>
        <v>6.0600000000000001E-2</v>
      </c>
      <c r="K507" s="9">
        <f>VLOOKUP(A507,[1]Datasheet_2!$A$2:$H$611,4,FALSE)</f>
        <v>0.62</v>
      </c>
      <c r="L507" s="8">
        <f>VLOOKUP(A507,[1]Datasheet_2!$A$2:$H$611,5,FALSE)</f>
        <v>0.1343</v>
      </c>
      <c r="M507" s="8">
        <f>VLOOKUP(A507,[1]Datasheet_2!$A$2:$H$611,6,FALSE)</f>
        <v>1</v>
      </c>
      <c r="N507" s="8">
        <f>VLOOKUP(A507,[1]Datasheet_2!$A$2:$H$611,7,FALSE)</f>
        <v>4</v>
      </c>
      <c r="O507" s="9">
        <f>VLOOKUP(A507,[1]Datasheet_2!$A$2:$H$611,8,FALSE)</f>
        <v>5</v>
      </c>
    </row>
    <row r="508" spans="1:15" x14ac:dyDescent="0.3">
      <c r="A508" s="4">
        <v>507</v>
      </c>
      <c r="B508" s="5">
        <v>40566</v>
      </c>
      <c r="C508" s="4">
        <v>1</v>
      </c>
      <c r="D508" s="4">
        <v>5</v>
      </c>
      <c r="E508" s="4" t="b">
        <v>0</v>
      </c>
      <c r="F508" s="4">
        <v>0</v>
      </c>
      <c r="G508" s="4">
        <v>2</v>
      </c>
      <c r="H508" s="4">
        <v>0.04</v>
      </c>
      <c r="I508">
        <f>VLOOKUP(A508,[1]Datasheet_2!$A$2:$H$611,2,FALSE)</f>
        <v>506</v>
      </c>
      <c r="J508">
        <f>VLOOKUP(A508,[1]Datasheet_2!$A$2:$H$611,3,FALSE)</f>
        <v>7.5800000000000006E-2</v>
      </c>
      <c r="K508" s="9">
        <f>VLOOKUP(A508,[1]Datasheet_2!$A$2:$H$611,4,FALSE)</f>
        <v>0.56999999999999995</v>
      </c>
      <c r="L508" s="8">
        <f>VLOOKUP(A508,[1]Datasheet_2!$A$2:$H$611,5,FALSE)</f>
        <v>0.1045</v>
      </c>
      <c r="M508" s="8">
        <f>VLOOKUP(A508,[1]Datasheet_2!$A$2:$H$611,6,FALSE)</f>
        <v>0</v>
      </c>
      <c r="N508" s="8">
        <f>VLOOKUP(A508,[1]Datasheet_2!$A$2:$H$611,7,FALSE)</f>
        <v>3</v>
      </c>
      <c r="O508" s="9">
        <f>VLOOKUP(A508,[1]Datasheet_2!$A$2:$H$611,8,FALSE)</f>
        <v>3</v>
      </c>
    </row>
    <row r="509" spans="1:15" x14ac:dyDescent="0.3">
      <c r="A509" s="4">
        <v>508</v>
      </c>
      <c r="B509" s="5">
        <v>40566</v>
      </c>
      <c r="C509" s="4">
        <v>1</v>
      </c>
      <c r="D509" s="4">
        <v>6</v>
      </c>
      <c r="E509" s="4" t="b">
        <v>0</v>
      </c>
      <c r="F509" s="4">
        <v>0</v>
      </c>
      <c r="G509" s="4">
        <v>2</v>
      </c>
      <c r="H509" s="4">
        <v>0.04</v>
      </c>
      <c r="I509">
        <f>VLOOKUP(A509,[1]Datasheet_2!$A$2:$H$611,2,FALSE)</f>
        <v>507</v>
      </c>
      <c r="J509">
        <f>VLOOKUP(A509,[1]Datasheet_2!$A$2:$H$611,3,FALSE)</f>
        <v>7.5800000000000006E-2</v>
      </c>
      <c r="K509" s="9">
        <f>VLOOKUP(A509,[1]Datasheet_2!$A$2:$H$611,4,FALSE)</f>
        <v>0.56999999999999995</v>
      </c>
      <c r="L509" s="8">
        <f>VLOOKUP(A509,[1]Datasheet_2!$A$2:$H$611,5,FALSE)</f>
        <v>0.1045</v>
      </c>
      <c r="M509" s="8">
        <f>VLOOKUP(A509,[1]Datasheet_2!$A$2:$H$611,6,FALSE)</f>
        <v>0</v>
      </c>
      <c r="N509" s="8">
        <f>VLOOKUP(A509,[1]Datasheet_2!$A$2:$H$611,7,FALSE)</f>
        <v>1</v>
      </c>
      <c r="O509" s="9">
        <f>VLOOKUP(A509,[1]Datasheet_2!$A$2:$H$611,8,FALSE)</f>
        <v>1</v>
      </c>
    </row>
    <row r="510" spans="1:15" x14ac:dyDescent="0.3">
      <c r="A510" s="4">
        <v>509</v>
      </c>
      <c r="B510" s="5">
        <v>40566</v>
      </c>
      <c r="C510" s="4">
        <v>1</v>
      </c>
      <c r="D510" s="4">
        <v>7</v>
      </c>
      <c r="E510" s="4" t="b">
        <v>0</v>
      </c>
      <c r="F510" s="4">
        <v>0</v>
      </c>
      <c r="G510" s="4">
        <v>1</v>
      </c>
      <c r="H510" s="4">
        <v>0.08</v>
      </c>
      <c r="I510">
        <f>VLOOKUP(A510,[1]Datasheet_2!$A$2:$H$611,2,FALSE)</f>
        <v>508</v>
      </c>
      <c r="J510">
        <f>VLOOKUP(A510,[1]Datasheet_2!$A$2:$H$611,3,FALSE)</f>
        <v>0.1061</v>
      </c>
      <c r="K510" s="9">
        <f>VLOOKUP(A510,[1]Datasheet_2!$A$2:$H$611,4,FALSE)</f>
        <v>0.57999999999999996</v>
      </c>
      <c r="L510" s="8">
        <f>VLOOKUP(A510,[1]Datasheet_2!$A$2:$H$611,5,FALSE)</f>
        <v>0.16420000000000001</v>
      </c>
      <c r="M510" s="8">
        <f>VLOOKUP(A510,[1]Datasheet_2!$A$2:$H$611,6,FALSE)</f>
        <v>1</v>
      </c>
      <c r="N510" s="8">
        <f>VLOOKUP(A510,[1]Datasheet_2!$A$2:$H$611,7,FALSE)</f>
        <v>1</v>
      </c>
      <c r="O510" s="9">
        <f>VLOOKUP(A510,[1]Datasheet_2!$A$2:$H$611,8,FALSE)</f>
        <v>2</v>
      </c>
    </row>
    <row r="511" spans="1:15" x14ac:dyDescent="0.3">
      <c r="A511" s="4">
        <v>510</v>
      </c>
      <c r="B511" s="5">
        <v>40566</v>
      </c>
      <c r="C511" s="4">
        <v>1</v>
      </c>
      <c r="D511" s="4">
        <v>8</v>
      </c>
      <c r="E511" s="4" t="b">
        <v>0</v>
      </c>
      <c r="F511" s="4">
        <v>0</v>
      </c>
      <c r="G511" s="4">
        <v>1</v>
      </c>
      <c r="H511" s="4">
        <v>0.06</v>
      </c>
      <c r="I511">
        <f>VLOOKUP(A511,[1]Datasheet_2!$A$2:$H$611,2,FALSE)</f>
        <v>509</v>
      </c>
      <c r="J511">
        <f>VLOOKUP(A511,[1]Datasheet_2!$A$2:$H$611,3,FALSE)</f>
        <v>7.5800000000000006E-2</v>
      </c>
      <c r="K511" s="9">
        <f>VLOOKUP(A511,[1]Datasheet_2!$A$2:$H$611,4,FALSE)</f>
        <v>0.62</v>
      </c>
      <c r="L511" s="8">
        <f>VLOOKUP(A511,[1]Datasheet_2!$A$2:$H$611,5,FALSE)</f>
        <v>0.16420000000000001</v>
      </c>
      <c r="M511" s="8">
        <f>VLOOKUP(A511,[1]Datasheet_2!$A$2:$H$611,6,FALSE)</f>
        <v>2</v>
      </c>
      <c r="N511" s="8">
        <f>VLOOKUP(A511,[1]Datasheet_2!$A$2:$H$611,7,FALSE)</f>
        <v>17</v>
      </c>
      <c r="O511" s="9">
        <f>VLOOKUP(A511,[1]Datasheet_2!$A$2:$H$611,8,FALSE)</f>
        <v>19</v>
      </c>
    </row>
    <row r="512" spans="1:15" x14ac:dyDescent="0.3">
      <c r="A512" s="4">
        <v>511</v>
      </c>
      <c r="B512" s="5">
        <v>40566</v>
      </c>
      <c r="C512" s="4">
        <v>1</v>
      </c>
      <c r="D512" s="4">
        <v>9</v>
      </c>
      <c r="E512" s="4" t="b">
        <v>0</v>
      </c>
      <c r="F512" s="4">
        <v>0</v>
      </c>
      <c r="G512" s="4">
        <v>1</v>
      </c>
      <c r="H512" s="4">
        <v>0.1</v>
      </c>
      <c r="I512">
        <f>VLOOKUP(A512,[1]Datasheet_2!$A$2:$H$611,2,FALSE)</f>
        <v>510</v>
      </c>
      <c r="J512">
        <f>VLOOKUP(A512,[1]Datasheet_2!$A$2:$H$611,3,FALSE)</f>
        <v>7.5800000000000006E-2</v>
      </c>
      <c r="K512" s="9">
        <f>VLOOKUP(A512,[1]Datasheet_2!$A$2:$H$611,4,FALSE)</f>
        <v>0.54</v>
      </c>
      <c r="L512" s="8">
        <f>VLOOKUP(A512,[1]Datasheet_2!$A$2:$H$611,5,FALSE)</f>
        <v>0.35820000000000002</v>
      </c>
      <c r="M512" s="8">
        <f>VLOOKUP(A512,[1]Datasheet_2!$A$2:$H$611,6,FALSE)</f>
        <v>3</v>
      </c>
      <c r="N512" s="8">
        <f>VLOOKUP(A512,[1]Datasheet_2!$A$2:$H$611,7,FALSE)</f>
        <v>25</v>
      </c>
      <c r="O512" s="9">
        <f>VLOOKUP(A512,[1]Datasheet_2!$A$2:$H$611,8,FALSE)</f>
        <v>28</v>
      </c>
    </row>
    <row r="513" spans="1:15" x14ac:dyDescent="0.3">
      <c r="A513" s="4">
        <v>512</v>
      </c>
      <c r="B513" s="5">
        <v>40566</v>
      </c>
      <c r="C513" s="4">
        <v>1</v>
      </c>
      <c r="D513" s="4">
        <v>10</v>
      </c>
      <c r="E513" s="4" t="b">
        <v>0</v>
      </c>
      <c r="F513" s="4">
        <v>0</v>
      </c>
      <c r="G513" s="4">
        <v>1</v>
      </c>
      <c r="H513" s="4">
        <v>0.14000000000000001</v>
      </c>
      <c r="I513">
        <f>VLOOKUP(A513,[1]Datasheet_2!$A$2:$H$611,2,FALSE)</f>
        <v>511</v>
      </c>
      <c r="J513">
        <f>VLOOKUP(A513,[1]Datasheet_2!$A$2:$H$611,3,FALSE)</f>
        <v>0.1061</v>
      </c>
      <c r="K513" s="9">
        <f>VLOOKUP(A513,[1]Datasheet_2!$A$2:$H$611,4,FALSE)</f>
        <v>0.46</v>
      </c>
      <c r="L513" s="8">
        <f>VLOOKUP(A513,[1]Datasheet_2!$A$2:$H$611,5,FALSE)</f>
        <v>0.3881</v>
      </c>
      <c r="M513" s="8">
        <f>VLOOKUP(A513,[1]Datasheet_2!$A$2:$H$611,6,FALSE)</f>
        <v>7</v>
      </c>
      <c r="N513" s="8">
        <f>VLOOKUP(A513,[1]Datasheet_2!$A$2:$H$611,7,FALSE)</f>
        <v>51</v>
      </c>
      <c r="O513" s="9">
        <f>VLOOKUP(A513,[1]Datasheet_2!$A$2:$H$611,8,FALSE)</f>
        <v>58</v>
      </c>
    </row>
    <row r="514" spans="1:15" x14ac:dyDescent="0.3">
      <c r="A514" s="4">
        <v>513</v>
      </c>
      <c r="B514" s="5">
        <v>40566</v>
      </c>
      <c r="C514" s="4">
        <v>1</v>
      </c>
      <c r="D514" s="4">
        <v>11</v>
      </c>
      <c r="E514" s="4" t="b">
        <v>0</v>
      </c>
      <c r="F514" s="4">
        <v>0</v>
      </c>
      <c r="G514" s="4">
        <v>1</v>
      </c>
      <c r="H514" s="4">
        <v>0.14000000000000001</v>
      </c>
      <c r="I514">
        <f>VLOOKUP(A514,[1]Datasheet_2!$A$2:$H$611,2,FALSE)</f>
        <v>512</v>
      </c>
      <c r="J514">
        <f>VLOOKUP(A514,[1]Datasheet_2!$A$2:$H$611,3,FALSE)</f>
        <v>0.13639999999999999</v>
      </c>
      <c r="K514" s="9">
        <f>VLOOKUP(A514,[1]Datasheet_2!$A$2:$H$611,4,FALSE)</f>
        <v>0.43</v>
      </c>
      <c r="L514" s="8">
        <f>VLOOKUP(A514,[1]Datasheet_2!$A$2:$H$611,5,FALSE)</f>
        <v>0.22389999999999999</v>
      </c>
      <c r="M514" s="8">
        <f>VLOOKUP(A514,[1]Datasheet_2!$A$2:$H$611,6,FALSE)</f>
        <v>22</v>
      </c>
      <c r="N514" s="8">
        <f>VLOOKUP(A514,[1]Datasheet_2!$A$2:$H$611,7,FALSE)</f>
        <v>77</v>
      </c>
      <c r="O514" s="9">
        <f>VLOOKUP(A514,[1]Datasheet_2!$A$2:$H$611,8,FALSE)</f>
        <v>99</v>
      </c>
    </row>
    <row r="515" spans="1:15" x14ac:dyDescent="0.3">
      <c r="A515" s="4">
        <v>514</v>
      </c>
      <c r="B515" s="5">
        <v>40566</v>
      </c>
      <c r="C515" s="4">
        <v>1</v>
      </c>
      <c r="D515" s="4">
        <v>12</v>
      </c>
      <c r="E515" s="4" t="b">
        <v>0</v>
      </c>
      <c r="F515" s="4">
        <v>0</v>
      </c>
      <c r="G515" s="4">
        <v>1</v>
      </c>
      <c r="H515" s="4">
        <v>0.16</v>
      </c>
      <c r="I515">
        <f>VLOOKUP(A515,[1]Datasheet_2!$A$2:$H$611,2,FALSE)</f>
        <v>513</v>
      </c>
      <c r="J515">
        <f>VLOOKUP(A515,[1]Datasheet_2!$A$2:$H$611,3,FALSE)</f>
        <v>0.1212</v>
      </c>
      <c r="K515" s="9">
        <f>VLOOKUP(A515,[1]Datasheet_2!$A$2:$H$611,4,FALSE)</f>
        <v>0.37</v>
      </c>
      <c r="L515" s="8">
        <f>VLOOKUP(A515,[1]Datasheet_2!$A$2:$H$611,5,FALSE)</f>
        <v>0.4627</v>
      </c>
      <c r="M515" s="8">
        <f>VLOOKUP(A515,[1]Datasheet_2!$A$2:$H$611,6,FALSE)</f>
        <v>24</v>
      </c>
      <c r="N515" s="8">
        <f>VLOOKUP(A515,[1]Datasheet_2!$A$2:$H$611,7,FALSE)</f>
        <v>92</v>
      </c>
      <c r="O515" s="9">
        <f>VLOOKUP(A515,[1]Datasheet_2!$A$2:$H$611,8,FALSE)</f>
        <v>116</v>
      </c>
    </row>
    <row r="516" spans="1:15" x14ac:dyDescent="0.3">
      <c r="A516" s="4">
        <v>515</v>
      </c>
      <c r="B516" s="5">
        <v>40566</v>
      </c>
      <c r="C516" s="4">
        <v>1</v>
      </c>
      <c r="D516" s="4">
        <v>13</v>
      </c>
      <c r="E516" s="4" t="b">
        <v>0</v>
      </c>
      <c r="F516" s="4">
        <v>0</v>
      </c>
      <c r="G516" s="4">
        <v>1</v>
      </c>
      <c r="H516" s="4">
        <v>0.14000000000000001</v>
      </c>
      <c r="I516">
        <f>VLOOKUP(A516,[1]Datasheet_2!$A$2:$H$611,2,FALSE)</f>
        <v>514</v>
      </c>
      <c r="J516">
        <f>VLOOKUP(A516,[1]Datasheet_2!$A$2:$H$611,3,FALSE)</f>
        <v>0.1061</v>
      </c>
      <c r="K516" s="9">
        <f>VLOOKUP(A516,[1]Datasheet_2!$A$2:$H$611,4,FALSE)</f>
        <v>0.33</v>
      </c>
      <c r="L516" s="8">
        <f>VLOOKUP(A516,[1]Datasheet_2!$A$2:$H$611,5,FALSE)</f>
        <v>0.3881</v>
      </c>
      <c r="M516" s="8">
        <f>VLOOKUP(A516,[1]Datasheet_2!$A$2:$H$611,6,FALSE)</f>
        <v>12</v>
      </c>
      <c r="N516" s="8">
        <f>VLOOKUP(A516,[1]Datasheet_2!$A$2:$H$611,7,FALSE)</f>
        <v>75</v>
      </c>
      <c r="O516" s="9">
        <f>VLOOKUP(A516,[1]Datasheet_2!$A$2:$H$611,8,FALSE)</f>
        <v>87</v>
      </c>
    </row>
    <row r="517" spans="1:15" x14ac:dyDescent="0.3">
      <c r="A517" s="4">
        <v>516</v>
      </c>
      <c r="B517" s="5">
        <v>40566</v>
      </c>
      <c r="C517" s="4">
        <v>1</v>
      </c>
      <c r="D517" s="4">
        <v>14</v>
      </c>
      <c r="E517" s="4" t="b">
        <v>0</v>
      </c>
      <c r="F517" s="4">
        <v>0</v>
      </c>
      <c r="G517" s="4">
        <v>1</v>
      </c>
      <c r="H517" s="4">
        <v>0.16</v>
      </c>
      <c r="I517">
        <f>VLOOKUP(A517,[1]Datasheet_2!$A$2:$H$611,2,FALSE)</f>
        <v>515</v>
      </c>
      <c r="J517">
        <f>VLOOKUP(A517,[1]Datasheet_2!$A$2:$H$611,3,FALSE)</f>
        <v>0.13639999999999999</v>
      </c>
      <c r="K517" s="9">
        <f>VLOOKUP(A517,[1]Datasheet_2!$A$2:$H$611,4,FALSE)</f>
        <v>0.28000000000000003</v>
      </c>
      <c r="L517" s="8">
        <f>VLOOKUP(A517,[1]Datasheet_2!$A$2:$H$611,5,FALSE)</f>
        <v>0.35820000000000002</v>
      </c>
      <c r="M517" s="8">
        <f>VLOOKUP(A517,[1]Datasheet_2!$A$2:$H$611,6,FALSE)</f>
        <v>17</v>
      </c>
      <c r="N517" s="8">
        <f>VLOOKUP(A517,[1]Datasheet_2!$A$2:$H$611,7,FALSE)</f>
        <v>93</v>
      </c>
      <c r="O517" s="9">
        <f>VLOOKUP(A517,[1]Datasheet_2!$A$2:$H$611,8,FALSE)</f>
        <v>110</v>
      </c>
    </row>
    <row r="518" spans="1:15" x14ac:dyDescent="0.3">
      <c r="A518" s="4">
        <v>517</v>
      </c>
      <c r="B518" s="5">
        <v>40566</v>
      </c>
      <c r="C518" s="4">
        <v>1</v>
      </c>
      <c r="D518" s="4">
        <v>15</v>
      </c>
      <c r="E518" s="4" t="b">
        <v>0</v>
      </c>
      <c r="F518" s="4">
        <v>0</v>
      </c>
      <c r="G518" s="4">
        <v>1</v>
      </c>
      <c r="H518" s="4">
        <v>0.16</v>
      </c>
      <c r="I518">
        <f>VLOOKUP(A518,[1]Datasheet_2!$A$2:$H$611,2,FALSE)</f>
        <v>516</v>
      </c>
      <c r="J518">
        <f>VLOOKUP(A518,[1]Datasheet_2!$A$2:$H$611,3,FALSE)</f>
        <v>0.13639999999999999</v>
      </c>
      <c r="K518" s="9">
        <f>VLOOKUP(A518,[1]Datasheet_2!$A$2:$H$611,4,FALSE)</f>
        <v>0.28000000000000003</v>
      </c>
      <c r="L518" s="8">
        <f>VLOOKUP(A518,[1]Datasheet_2!$A$2:$H$611,5,FALSE)</f>
        <v>0.35820000000000002</v>
      </c>
      <c r="M518" s="8">
        <f>VLOOKUP(A518,[1]Datasheet_2!$A$2:$H$611,6,FALSE)</f>
        <v>13</v>
      </c>
      <c r="N518" s="8">
        <f>VLOOKUP(A518,[1]Datasheet_2!$A$2:$H$611,7,FALSE)</f>
        <v>64</v>
      </c>
      <c r="O518" s="9">
        <f>VLOOKUP(A518,[1]Datasheet_2!$A$2:$H$611,8,FALSE)</f>
        <v>77</v>
      </c>
    </row>
    <row r="519" spans="1:15" x14ac:dyDescent="0.3">
      <c r="A519" s="4">
        <v>518</v>
      </c>
      <c r="B519" s="5">
        <v>40566</v>
      </c>
      <c r="C519" s="4">
        <v>1</v>
      </c>
      <c r="D519" s="4">
        <v>16</v>
      </c>
      <c r="E519" s="4" t="b">
        <v>0</v>
      </c>
      <c r="F519" s="4">
        <v>0</v>
      </c>
      <c r="G519" s="4">
        <v>1</v>
      </c>
      <c r="H519" s="4">
        <v>0.16</v>
      </c>
      <c r="I519">
        <f>VLOOKUP(A519,[1]Datasheet_2!$A$2:$H$611,2,FALSE)</f>
        <v>517</v>
      </c>
      <c r="J519">
        <f>VLOOKUP(A519,[1]Datasheet_2!$A$2:$H$611,3,FALSE)</f>
        <v>0.13639999999999999</v>
      </c>
      <c r="K519" s="9">
        <f>VLOOKUP(A519,[1]Datasheet_2!$A$2:$H$611,4,FALSE)</f>
        <v>0.26</v>
      </c>
      <c r="L519" s="8">
        <f>VLOOKUP(A519,[1]Datasheet_2!$A$2:$H$611,5,FALSE)</f>
        <v>0.32840000000000003</v>
      </c>
      <c r="M519" s="8">
        <f>VLOOKUP(A519,[1]Datasheet_2!$A$2:$H$611,6,FALSE)</f>
        <v>9</v>
      </c>
      <c r="N519" s="8">
        <f>VLOOKUP(A519,[1]Datasheet_2!$A$2:$H$611,7,FALSE)</f>
        <v>56</v>
      </c>
      <c r="O519" s="9">
        <f>VLOOKUP(A519,[1]Datasheet_2!$A$2:$H$611,8,FALSE)</f>
        <v>65</v>
      </c>
    </row>
    <row r="520" spans="1:15" x14ac:dyDescent="0.3">
      <c r="A520" s="4">
        <v>519</v>
      </c>
      <c r="B520" s="5">
        <v>40566</v>
      </c>
      <c r="C520" s="4">
        <v>1</v>
      </c>
      <c r="D520" s="4">
        <v>17</v>
      </c>
      <c r="E520" s="4" t="b">
        <v>0</v>
      </c>
      <c r="F520" s="4">
        <v>0</v>
      </c>
      <c r="G520" s="4">
        <v>1</v>
      </c>
      <c r="H520" s="4">
        <v>0.14000000000000001</v>
      </c>
      <c r="I520">
        <f>VLOOKUP(A520,[1]Datasheet_2!$A$2:$H$611,2,FALSE)</f>
        <v>518</v>
      </c>
      <c r="J520">
        <f>VLOOKUP(A520,[1]Datasheet_2!$A$2:$H$611,3,FALSE)</f>
        <v>0.1061</v>
      </c>
      <c r="K520" s="9">
        <f>VLOOKUP(A520,[1]Datasheet_2!$A$2:$H$611,4,FALSE)</f>
        <v>0.26</v>
      </c>
      <c r="L520" s="8">
        <f>VLOOKUP(A520,[1]Datasheet_2!$A$2:$H$611,5,FALSE)</f>
        <v>0.3881</v>
      </c>
      <c r="M520" s="8">
        <f>VLOOKUP(A520,[1]Datasheet_2!$A$2:$H$611,6,FALSE)</f>
        <v>5</v>
      </c>
      <c r="N520" s="8">
        <f>VLOOKUP(A520,[1]Datasheet_2!$A$2:$H$611,7,FALSE)</f>
        <v>50</v>
      </c>
      <c r="O520" s="9">
        <f>VLOOKUP(A520,[1]Datasheet_2!$A$2:$H$611,8,FALSE)</f>
        <v>55</v>
      </c>
    </row>
    <row r="521" spans="1:15" x14ac:dyDescent="0.3">
      <c r="A521" s="4">
        <v>520</v>
      </c>
      <c r="B521" s="5">
        <v>40566</v>
      </c>
      <c r="C521" s="4">
        <v>1</v>
      </c>
      <c r="D521" s="4">
        <v>18</v>
      </c>
      <c r="E521" s="4" t="b">
        <v>0</v>
      </c>
      <c r="F521" s="4">
        <v>0</v>
      </c>
      <c r="G521" s="4">
        <v>1</v>
      </c>
      <c r="H521" s="4">
        <v>0.12</v>
      </c>
      <c r="I521">
        <f>VLOOKUP(A521,[1]Datasheet_2!$A$2:$H$611,2,FALSE)</f>
        <v>519</v>
      </c>
      <c r="J521">
        <f>VLOOKUP(A521,[1]Datasheet_2!$A$2:$H$611,3,FALSE)</f>
        <v>0.1212</v>
      </c>
      <c r="K521" s="9">
        <f>VLOOKUP(A521,[1]Datasheet_2!$A$2:$H$611,4,FALSE)</f>
        <v>0.3</v>
      </c>
      <c r="L521" s="8">
        <f>VLOOKUP(A521,[1]Datasheet_2!$A$2:$H$611,5,FALSE)</f>
        <v>0.25369999999999998</v>
      </c>
      <c r="M521" s="8">
        <f>VLOOKUP(A521,[1]Datasheet_2!$A$2:$H$611,6,FALSE)</f>
        <v>5</v>
      </c>
      <c r="N521" s="8">
        <f>VLOOKUP(A521,[1]Datasheet_2!$A$2:$H$611,7,FALSE)</f>
        <v>44</v>
      </c>
      <c r="O521" s="9">
        <f>VLOOKUP(A521,[1]Datasheet_2!$A$2:$H$611,8,FALSE)</f>
        <v>49</v>
      </c>
    </row>
    <row r="522" spans="1:15" x14ac:dyDescent="0.3">
      <c r="A522" s="4">
        <v>521</v>
      </c>
      <c r="B522" s="5">
        <v>40566</v>
      </c>
      <c r="C522" s="4">
        <v>1</v>
      </c>
      <c r="D522" s="4">
        <v>19</v>
      </c>
      <c r="E522" s="4" t="b">
        <v>0</v>
      </c>
      <c r="F522" s="4">
        <v>0</v>
      </c>
      <c r="G522" s="4">
        <v>1</v>
      </c>
      <c r="H522" s="4">
        <v>0.12</v>
      </c>
      <c r="I522">
        <f>VLOOKUP(A522,[1]Datasheet_2!$A$2:$H$611,2,FALSE)</f>
        <v>520</v>
      </c>
      <c r="J522">
        <f>VLOOKUP(A522,[1]Datasheet_2!$A$2:$H$611,3,FALSE)</f>
        <v>0.1212</v>
      </c>
      <c r="K522" s="9">
        <f>VLOOKUP(A522,[1]Datasheet_2!$A$2:$H$611,4,FALSE)</f>
        <v>0.3</v>
      </c>
      <c r="L522" s="8">
        <f>VLOOKUP(A522,[1]Datasheet_2!$A$2:$H$611,5,FALSE)</f>
        <v>0.28360000000000002</v>
      </c>
      <c r="M522" s="8">
        <f>VLOOKUP(A522,[1]Datasheet_2!$A$2:$H$611,6,FALSE)</f>
        <v>5</v>
      </c>
      <c r="N522" s="8">
        <f>VLOOKUP(A522,[1]Datasheet_2!$A$2:$H$611,7,FALSE)</f>
        <v>45</v>
      </c>
      <c r="O522" s="9">
        <f>VLOOKUP(A522,[1]Datasheet_2!$A$2:$H$611,8,FALSE)</f>
        <v>50</v>
      </c>
    </row>
    <row r="523" spans="1:15" x14ac:dyDescent="0.3">
      <c r="A523" s="4">
        <v>522</v>
      </c>
      <c r="B523" s="5">
        <v>40566</v>
      </c>
      <c r="C523" s="4">
        <v>1</v>
      </c>
      <c r="D523" s="4">
        <v>20</v>
      </c>
      <c r="E523" s="4" t="b">
        <v>0</v>
      </c>
      <c r="F523" s="4">
        <v>0</v>
      </c>
      <c r="G523" s="4">
        <v>1</v>
      </c>
      <c r="H523" s="4">
        <v>0.1</v>
      </c>
      <c r="I523">
        <f>VLOOKUP(A523,[1]Datasheet_2!$A$2:$H$611,2,FALSE)</f>
        <v>521</v>
      </c>
      <c r="J523">
        <f>VLOOKUP(A523,[1]Datasheet_2!$A$2:$H$611,3,FALSE)</f>
        <v>0.1061</v>
      </c>
      <c r="K523" s="9">
        <f>VLOOKUP(A523,[1]Datasheet_2!$A$2:$H$611,4,FALSE)</f>
        <v>0.36</v>
      </c>
      <c r="L523" s="8">
        <f>VLOOKUP(A523,[1]Datasheet_2!$A$2:$H$611,5,FALSE)</f>
        <v>0.25369999999999998</v>
      </c>
      <c r="M523" s="8">
        <f>VLOOKUP(A523,[1]Datasheet_2!$A$2:$H$611,6,FALSE)</f>
        <v>4</v>
      </c>
      <c r="N523" s="8">
        <f>VLOOKUP(A523,[1]Datasheet_2!$A$2:$H$611,7,FALSE)</f>
        <v>31</v>
      </c>
      <c r="O523" s="9">
        <f>VLOOKUP(A523,[1]Datasheet_2!$A$2:$H$611,8,FALSE)</f>
        <v>35</v>
      </c>
    </row>
    <row r="524" spans="1:15" x14ac:dyDescent="0.3">
      <c r="A524" s="4">
        <v>523</v>
      </c>
      <c r="B524" s="5">
        <v>40566</v>
      </c>
      <c r="C524" s="4">
        <v>1</v>
      </c>
      <c r="D524" s="4">
        <v>21</v>
      </c>
      <c r="E524" s="4" t="b">
        <v>0</v>
      </c>
      <c r="F524" s="4">
        <v>0</v>
      </c>
      <c r="G524" s="4">
        <v>1</v>
      </c>
      <c r="H524" s="4">
        <v>0.1</v>
      </c>
      <c r="I524">
        <f>VLOOKUP(A524,[1]Datasheet_2!$A$2:$H$611,2,FALSE)</f>
        <v>522</v>
      </c>
      <c r="J524">
        <f>VLOOKUP(A524,[1]Datasheet_2!$A$2:$H$611,3,FALSE)</f>
        <v>0.1061</v>
      </c>
      <c r="K524" s="9">
        <f>VLOOKUP(A524,[1]Datasheet_2!$A$2:$H$611,4,FALSE)</f>
        <v>0.36</v>
      </c>
      <c r="L524" s="8">
        <f>VLOOKUP(A524,[1]Datasheet_2!$A$2:$H$611,5,FALSE)</f>
        <v>0.19400000000000001</v>
      </c>
      <c r="M524" s="8">
        <f>VLOOKUP(A524,[1]Datasheet_2!$A$2:$H$611,6,FALSE)</f>
        <v>5</v>
      </c>
      <c r="N524" s="8">
        <f>VLOOKUP(A524,[1]Datasheet_2!$A$2:$H$611,7,FALSE)</f>
        <v>20</v>
      </c>
      <c r="O524" s="9">
        <f>VLOOKUP(A524,[1]Datasheet_2!$A$2:$H$611,8,FALSE)</f>
        <v>25</v>
      </c>
    </row>
    <row r="525" spans="1:15" x14ac:dyDescent="0.3">
      <c r="A525" s="4">
        <v>524</v>
      </c>
      <c r="B525" s="5">
        <v>40566</v>
      </c>
      <c r="C525" s="4">
        <v>1</v>
      </c>
      <c r="D525" s="4">
        <v>22</v>
      </c>
      <c r="E525" s="4" t="b">
        <v>0</v>
      </c>
      <c r="F525" s="4">
        <v>0</v>
      </c>
      <c r="G525" s="4">
        <v>1</v>
      </c>
      <c r="H525" s="4">
        <v>0.08</v>
      </c>
      <c r="I525">
        <f>VLOOKUP(A525,[1]Datasheet_2!$A$2:$H$611,2,FALSE)</f>
        <v>523</v>
      </c>
      <c r="J525">
        <f>VLOOKUP(A525,[1]Datasheet_2!$A$2:$H$611,3,FALSE)</f>
        <v>9.0899999999999995E-2</v>
      </c>
      <c r="K525" s="9">
        <f>VLOOKUP(A525,[1]Datasheet_2!$A$2:$H$611,4,FALSE)</f>
        <v>0.38</v>
      </c>
      <c r="L525" s="8">
        <f>VLOOKUP(A525,[1]Datasheet_2!$A$2:$H$611,5,FALSE)</f>
        <v>0.19400000000000001</v>
      </c>
      <c r="M525" s="8">
        <f>VLOOKUP(A525,[1]Datasheet_2!$A$2:$H$611,6,FALSE)</f>
        <v>5</v>
      </c>
      <c r="N525" s="8">
        <f>VLOOKUP(A525,[1]Datasheet_2!$A$2:$H$611,7,FALSE)</f>
        <v>23</v>
      </c>
      <c r="O525" s="9">
        <f>VLOOKUP(A525,[1]Datasheet_2!$A$2:$H$611,8,FALSE)</f>
        <v>28</v>
      </c>
    </row>
    <row r="526" spans="1:15" x14ac:dyDescent="0.3">
      <c r="A526" s="4">
        <v>525</v>
      </c>
      <c r="B526" s="5">
        <v>40566</v>
      </c>
      <c r="C526" s="4">
        <v>1</v>
      </c>
      <c r="D526" s="4">
        <v>23</v>
      </c>
      <c r="E526" s="4" t="b">
        <v>0</v>
      </c>
      <c r="F526" s="4">
        <v>0</v>
      </c>
      <c r="G526" s="4">
        <v>1</v>
      </c>
      <c r="H526" s="4">
        <v>0.06</v>
      </c>
      <c r="I526">
        <f>VLOOKUP(A526,[1]Datasheet_2!$A$2:$H$611,2,FALSE)</f>
        <v>524</v>
      </c>
      <c r="J526">
        <f>VLOOKUP(A526,[1]Datasheet_2!$A$2:$H$611,3,FALSE)</f>
        <v>6.0600000000000001E-2</v>
      </c>
      <c r="K526" s="9">
        <f>VLOOKUP(A526,[1]Datasheet_2!$A$2:$H$611,4,FALSE)</f>
        <v>0.41</v>
      </c>
      <c r="L526" s="8">
        <f>VLOOKUP(A526,[1]Datasheet_2!$A$2:$H$611,5,FALSE)</f>
        <v>0.22389999999999999</v>
      </c>
      <c r="M526" s="8">
        <f>VLOOKUP(A526,[1]Datasheet_2!$A$2:$H$611,6,FALSE)</f>
        <v>4</v>
      </c>
      <c r="N526" s="8">
        <f>VLOOKUP(A526,[1]Datasheet_2!$A$2:$H$611,7,FALSE)</f>
        <v>17</v>
      </c>
      <c r="O526" s="9">
        <f>VLOOKUP(A526,[1]Datasheet_2!$A$2:$H$611,8,FALSE)</f>
        <v>21</v>
      </c>
    </row>
    <row r="527" spans="1:15" x14ac:dyDescent="0.3">
      <c r="A527" s="4">
        <v>526</v>
      </c>
      <c r="B527" s="5">
        <v>40567</v>
      </c>
      <c r="C527" s="4">
        <v>1</v>
      </c>
      <c r="D527" s="4">
        <v>0</v>
      </c>
      <c r="E527" s="4" t="b">
        <v>0</v>
      </c>
      <c r="F527" s="4">
        <v>1</v>
      </c>
      <c r="G527" s="4">
        <v>1</v>
      </c>
      <c r="H527" s="4">
        <v>0.06</v>
      </c>
      <c r="I527">
        <f>VLOOKUP(A527,[1]Datasheet_2!$A$2:$H$611,2,FALSE)</f>
        <v>525</v>
      </c>
      <c r="J527">
        <f>VLOOKUP(A527,[1]Datasheet_2!$A$2:$H$611,3,FALSE)</f>
        <v>6.0600000000000001E-2</v>
      </c>
      <c r="K527" s="9">
        <f>VLOOKUP(A527,[1]Datasheet_2!$A$2:$H$611,4,FALSE)</f>
        <v>0.41</v>
      </c>
      <c r="L527" s="8">
        <f>VLOOKUP(A527,[1]Datasheet_2!$A$2:$H$611,5,FALSE)</f>
        <v>0.19400000000000001</v>
      </c>
      <c r="M527" s="8">
        <f>VLOOKUP(A527,[1]Datasheet_2!$A$2:$H$611,6,FALSE)</f>
        <v>0</v>
      </c>
      <c r="N527" s="8">
        <f>VLOOKUP(A527,[1]Datasheet_2!$A$2:$H$611,7,FALSE)</f>
        <v>7</v>
      </c>
      <c r="O527" s="9">
        <f>VLOOKUP(A527,[1]Datasheet_2!$A$2:$H$611,8,FALSE)</f>
        <v>7</v>
      </c>
    </row>
    <row r="528" spans="1:15" x14ac:dyDescent="0.3">
      <c r="A528" s="4">
        <v>527</v>
      </c>
      <c r="B528" s="5">
        <v>40567</v>
      </c>
      <c r="C528" s="4">
        <v>1</v>
      </c>
      <c r="D528" s="4">
        <v>1</v>
      </c>
      <c r="E528" s="4" t="b">
        <v>0</v>
      </c>
      <c r="F528" s="4">
        <v>1</v>
      </c>
      <c r="G528" s="4">
        <v>1</v>
      </c>
      <c r="H528" s="4">
        <v>0.04</v>
      </c>
      <c r="I528">
        <f>VLOOKUP(A528,[1]Datasheet_2!$A$2:$H$611,2,FALSE)</f>
        <v>526</v>
      </c>
      <c r="J528">
        <f>VLOOKUP(A528,[1]Datasheet_2!$A$2:$H$611,3,FALSE)</f>
        <v>4.5499999999999999E-2</v>
      </c>
      <c r="K528" s="9">
        <f>VLOOKUP(A528,[1]Datasheet_2!$A$2:$H$611,4,FALSE)</f>
        <v>0.45</v>
      </c>
      <c r="L528" s="8">
        <f>VLOOKUP(A528,[1]Datasheet_2!$A$2:$H$611,5,FALSE)</f>
        <v>0.19400000000000001</v>
      </c>
      <c r="M528" s="8">
        <f>VLOOKUP(A528,[1]Datasheet_2!$A$2:$H$611,6,FALSE)</f>
        <v>0</v>
      </c>
      <c r="N528" s="8">
        <f>VLOOKUP(A528,[1]Datasheet_2!$A$2:$H$611,7,FALSE)</f>
        <v>1</v>
      </c>
      <c r="O528" s="9">
        <f>VLOOKUP(A528,[1]Datasheet_2!$A$2:$H$611,8,FALSE)</f>
        <v>1</v>
      </c>
    </row>
    <row r="529" spans="1:15" x14ac:dyDescent="0.3">
      <c r="A529" s="4">
        <v>528</v>
      </c>
      <c r="B529" s="5">
        <v>40567</v>
      </c>
      <c r="C529" s="4">
        <v>1</v>
      </c>
      <c r="D529" s="4">
        <v>3</v>
      </c>
      <c r="E529" s="4" t="b">
        <v>0</v>
      </c>
      <c r="F529" s="4">
        <v>1</v>
      </c>
      <c r="G529" s="4">
        <v>1</v>
      </c>
      <c r="H529" s="4">
        <v>0.04</v>
      </c>
      <c r="I529">
        <f>VLOOKUP(A529,[1]Datasheet_2!$A$2:$H$611,2,FALSE)</f>
        <v>527</v>
      </c>
      <c r="J529">
        <f>VLOOKUP(A529,[1]Datasheet_2!$A$2:$H$611,3,FALSE)</f>
        <v>3.0300000000000001E-2</v>
      </c>
      <c r="K529" s="9">
        <f>VLOOKUP(A529,[1]Datasheet_2!$A$2:$H$611,4,FALSE)</f>
        <v>0.45</v>
      </c>
      <c r="L529" s="8">
        <f>VLOOKUP(A529,[1]Datasheet_2!$A$2:$H$611,5,FALSE)</f>
        <v>0.25369999999999998</v>
      </c>
      <c r="M529" s="8">
        <f>VLOOKUP(A529,[1]Datasheet_2!$A$2:$H$611,6,FALSE)</f>
        <v>0</v>
      </c>
      <c r="N529" s="8">
        <f>VLOOKUP(A529,[1]Datasheet_2!$A$2:$H$611,7,FALSE)</f>
        <v>1</v>
      </c>
      <c r="O529" s="9">
        <f>VLOOKUP(A529,[1]Datasheet_2!$A$2:$H$611,8,FALSE)</f>
        <v>1</v>
      </c>
    </row>
    <row r="530" spans="1:15" x14ac:dyDescent="0.3">
      <c r="A530" s="4">
        <v>529</v>
      </c>
      <c r="B530" s="5">
        <v>40567</v>
      </c>
      <c r="C530" s="4">
        <v>1</v>
      </c>
      <c r="D530" s="4">
        <v>4</v>
      </c>
      <c r="E530" s="4" t="b">
        <v>0</v>
      </c>
      <c r="F530" s="4">
        <v>1</v>
      </c>
      <c r="G530" s="4">
        <v>1</v>
      </c>
      <c r="H530" s="4">
        <v>0.02</v>
      </c>
      <c r="I530">
        <f>VLOOKUP(A530,[1]Datasheet_2!$A$2:$H$611,2,FALSE)</f>
        <v>528</v>
      </c>
      <c r="J530">
        <f>VLOOKUP(A530,[1]Datasheet_2!$A$2:$H$611,3,FALSE)</f>
        <v>6.0600000000000001E-2</v>
      </c>
      <c r="K530" s="9">
        <f>VLOOKUP(A530,[1]Datasheet_2!$A$2:$H$611,4,FALSE)</f>
        <v>0.48</v>
      </c>
      <c r="L530" s="8">
        <f>VLOOKUP(A530,[1]Datasheet_2!$A$2:$H$611,5,FALSE)</f>
        <v>0.1343</v>
      </c>
      <c r="M530" s="8">
        <f>VLOOKUP(A530,[1]Datasheet_2!$A$2:$H$611,6,FALSE)</f>
        <v>0</v>
      </c>
      <c r="N530" s="8">
        <f>VLOOKUP(A530,[1]Datasheet_2!$A$2:$H$611,7,FALSE)</f>
        <v>1</v>
      </c>
      <c r="O530" s="9">
        <f>VLOOKUP(A530,[1]Datasheet_2!$A$2:$H$611,8,FALSE)</f>
        <v>1</v>
      </c>
    </row>
    <row r="531" spans="1:15" x14ac:dyDescent="0.3">
      <c r="A531" s="4">
        <v>530</v>
      </c>
      <c r="B531" s="5">
        <v>40567</v>
      </c>
      <c r="C531" s="4">
        <v>1</v>
      </c>
      <c r="D531" s="4">
        <v>5</v>
      </c>
      <c r="E531" s="4" t="b">
        <v>0</v>
      </c>
      <c r="F531" s="4">
        <v>1</v>
      </c>
      <c r="G531" s="4">
        <v>1</v>
      </c>
      <c r="H531" s="4">
        <v>0.02</v>
      </c>
      <c r="I531">
        <f>VLOOKUP(A531,[1]Datasheet_2!$A$2:$H$611,2,FALSE)</f>
        <v>529</v>
      </c>
      <c r="J531">
        <f>VLOOKUP(A531,[1]Datasheet_2!$A$2:$H$611,3,FALSE)</f>
        <v>6.0600000000000001E-2</v>
      </c>
      <c r="K531" s="9">
        <f>VLOOKUP(A531,[1]Datasheet_2!$A$2:$H$611,4,FALSE)</f>
        <v>0.48</v>
      </c>
      <c r="L531" s="8">
        <f>VLOOKUP(A531,[1]Datasheet_2!$A$2:$H$611,5,FALSE)</f>
        <v>0.1343</v>
      </c>
      <c r="M531" s="8">
        <f>VLOOKUP(A531,[1]Datasheet_2!$A$2:$H$611,6,FALSE)</f>
        <v>0</v>
      </c>
      <c r="N531" s="8">
        <f>VLOOKUP(A531,[1]Datasheet_2!$A$2:$H$611,7,FALSE)</f>
        <v>5</v>
      </c>
      <c r="O531" s="9">
        <f>VLOOKUP(A531,[1]Datasheet_2!$A$2:$H$611,8,FALSE)</f>
        <v>5</v>
      </c>
    </row>
    <row r="532" spans="1:15" x14ac:dyDescent="0.3">
      <c r="A532" s="4">
        <v>531</v>
      </c>
      <c r="B532" s="5">
        <v>40567</v>
      </c>
      <c r="C532" s="4">
        <v>1</v>
      </c>
      <c r="D532" s="4">
        <v>6</v>
      </c>
      <c r="E532" s="4" t="b">
        <v>0</v>
      </c>
      <c r="F532" s="4">
        <v>1</v>
      </c>
      <c r="G532" s="4">
        <v>1</v>
      </c>
      <c r="H532" s="4">
        <v>0.02</v>
      </c>
      <c r="I532">
        <f>VLOOKUP(A532,[1]Datasheet_2!$A$2:$H$611,2,FALSE)</f>
        <v>530</v>
      </c>
      <c r="J532">
        <f>VLOOKUP(A532,[1]Datasheet_2!$A$2:$H$611,3,FALSE)</f>
        <v>7.5800000000000006E-2</v>
      </c>
      <c r="K532" s="9">
        <f>VLOOKUP(A532,[1]Datasheet_2!$A$2:$H$611,4,FALSE)</f>
        <v>0.48</v>
      </c>
      <c r="L532" s="8">
        <f>VLOOKUP(A532,[1]Datasheet_2!$A$2:$H$611,5,FALSE)</f>
        <v>8.9599999999999999E-2</v>
      </c>
      <c r="M532" s="8">
        <f>VLOOKUP(A532,[1]Datasheet_2!$A$2:$H$611,6,FALSE)</f>
        <v>0</v>
      </c>
      <c r="N532" s="8">
        <f>VLOOKUP(A532,[1]Datasheet_2!$A$2:$H$611,7,FALSE)</f>
        <v>15</v>
      </c>
      <c r="O532" s="9">
        <f>VLOOKUP(A532,[1]Datasheet_2!$A$2:$H$611,8,FALSE)</f>
        <v>15</v>
      </c>
    </row>
    <row r="533" spans="1:15" x14ac:dyDescent="0.3">
      <c r="A533" s="4">
        <v>532</v>
      </c>
      <c r="B533" s="5">
        <v>40567</v>
      </c>
      <c r="C533" s="4">
        <v>1</v>
      </c>
      <c r="D533" s="4">
        <v>7</v>
      </c>
      <c r="E533" s="4" t="b">
        <v>0</v>
      </c>
      <c r="F533" s="4">
        <v>1</v>
      </c>
      <c r="G533" s="4">
        <v>1</v>
      </c>
      <c r="H533" s="4">
        <v>0.02</v>
      </c>
      <c r="I533">
        <f>VLOOKUP(A533,[1]Datasheet_2!$A$2:$H$611,2,FALSE)</f>
        <v>531</v>
      </c>
      <c r="J533">
        <f>VLOOKUP(A533,[1]Datasheet_2!$A$2:$H$611,3,FALSE)</f>
        <v>0.1212</v>
      </c>
      <c r="K533" s="9">
        <f>VLOOKUP(A533,[1]Datasheet_2!$A$2:$H$611,4,FALSE)</f>
        <v>0.48</v>
      </c>
      <c r="L533" s="8">
        <f>VLOOKUP(A533,[1]Datasheet_2!$A$2:$H$611,5,FALSE)</f>
        <v>0</v>
      </c>
      <c r="M533" s="8">
        <f>VLOOKUP(A533,[1]Datasheet_2!$A$2:$H$611,6,FALSE)</f>
        <v>5</v>
      </c>
      <c r="N533" s="8">
        <f>VLOOKUP(A533,[1]Datasheet_2!$A$2:$H$611,7,FALSE)</f>
        <v>79</v>
      </c>
      <c r="O533" s="9">
        <f>VLOOKUP(A533,[1]Datasheet_2!$A$2:$H$611,8,FALSE)</f>
        <v>84</v>
      </c>
    </row>
    <row r="534" spans="1:15" x14ac:dyDescent="0.3">
      <c r="A534" s="4">
        <v>533</v>
      </c>
      <c r="B534" s="5">
        <v>40567</v>
      </c>
      <c r="C534" s="4">
        <v>1</v>
      </c>
      <c r="D534" s="4">
        <v>8</v>
      </c>
      <c r="E534" s="4" t="b">
        <v>0</v>
      </c>
      <c r="F534" s="4">
        <v>1</v>
      </c>
      <c r="G534" s="4">
        <v>1</v>
      </c>
      <c r="H534" s="4">
        <v>0.04</v>
      </c>
      <c r="I534">
        <f>VLOOKUP(A534,[1]Datasheet_2!$A$2:$H$611,2,FALSE)</f>
        <v>532</v>
      </c>
      <c r="J534">
        <f>VLOOKUP(A534,[1]Datasheet_2!$A$2:$H$611,3,FALSE)</f>
        <v>0.13639999999999999</v>
      </c>
      <c r="K534" s="9">
        <f>VLOOKUP(A534,[1]Datasheet_2!$A$2:$H$611,4,FALSE)</f>
        <v>0.49</v>
      </c>
      <c r="L534" s="8">
        <f>VLOOKUP(A534,[1]Datasheet_2!$A$2:$H$611,5,FALSE)</f>
        <v>0</v>
      </c>
      <c r="M534" s="8">
        <f>VLOOKUP(A534,[1]Datasheet_2!$A$2:$H$611,6,FALSE)</f>
        <v>6</v>
      </c>
      <c r="N534" s="8">
        <f>VLOOKUP(A534,[1]Datasheet_2!$A$2:$H$611,7,FALSE)</f>
        <v>171</v>
      </c>
      <c r="O534" s="9">
        <f>VLOOKUP(A534,[1]Datasheet_2!$A$2:$H$611,8,FALSE)</f>
        <v>177</v>
      </c>
    </row>
    <row r="535" spans="1:15" x14ac:dyDescent="0.3">
      <c r="A535" s="4">
        <v>534</v>
      </c>
      <c r="B535" s="5">
        <v>40567</v>
      </c>
      <c r="C535" s="4">
        <v>1</v>
      </c>
      <c r="D535" s="4">
        <v>9</v>
      </c>
      <c r="E535" s="4" t="b">
        <v>0</v>
      </c>
      <c r="F535" s="4">
        <v>1</v>
      </c>
      <c r="G535" s="4">
        <v>1</v>
      </c>
      <c r="H535" s="4">
        <v>0.06</v>
      </c>
      <c r="I535">
        <f>VLOOKUP(A535,[1]Datasheet_2!$A$2:$H$611,2,FALSE)</f>
        <v>533</v>
      </c>
      <c r="J535">
        <f>VLOOKUP(A535,[1]Datasheet_2!$A$2:$H$611,3,FALSE)</f>
        <v>0.1515</v>
      </c>
      <c r="K535" s="9">
        <f>VLOOKUP(A535,[1]Datasheet_2!$A$2:$H$611,4,FALSE)</f>
        <v>0.41</v>
      </c>
      <c r="L535" s="8">
        <f>VLOOKUP(A535,[1]Datasheet_2!$A$2:$H$611,5,FALSE)</f>
        <v>0</v>
      </c>
      <c r="M535" s="8">
        <f>VLOOKUP(A535,[1]Datasheet_2!$A$2:$H$611,6,FALSE)</f>
        <v>4</v>
      </c>
      <c r="N535" s="8">
        <f>VLOOKUP(A535,[1]Datasheet_2!$A$2:$H$611,7,FALSE)</f>
        <v>98</v>
      </c>
      <c r="O535" s="9">
        <f>VLOOKUP(A535,[1]Datasheet_2!$A$2:$H$611,8,FALSE)</f>
        <v>102</v>
      </c>
    </row>
    <row r="536" spans="1:15" x14ac:dyDescent="0.3">
      <c r="A536" s="4">
        <v>535</v>
      </c>
      <c r="B536" s="5">
        <v>40567</v>
      </c>
      <c r="C536" s="4">
        <v>1</v>
      </c>
      <c r="D536" s="4">
        <v>10</v>
      </c>
      <c r="E536" s="4" t="b">
        <v>0</v>
      </c>
      <c r="F536" s="4">
        <v>1</v>
      </c>
      <c r="G536" s="4">
        <v>1</v>
      </c>
      <c r="H536" s="4">
        <v>0.1</v>
      </c>
      <c r="I536">
        <f>VLOOKUP(A536,[1]Datasheet_2!$A$2:$H$611,2,FALSE)</f>
        <v>534</v>
      </c>
      <c r="J536">
        <f>VLOOKUP(A536,[1]Datasheet_2!$A$2:$H$611,3,FALSE)</f>
        <v>0.13639999999999999</v>
      </c>
      <c r="K536" s="9">
        <f>VLOOKUP(A536,[1]Datasheet_2!$A$2:$H$611,4,FALSE)</f>
        <v>0.42</v>
      </c>
      <c r="L536" s="8">
        <f>VLOOKUP(A536,[1]Datasheet_2!$A$2:$H$611,5,FALSE)</f>
        <v>0</v>
      </c>
      <c r="M536" s="8">
        <f>VLOOKUP(A536,[1]Datasheet_2!$A$2:$H$611,6,FALSE)</f>
        <v>6</v>
      </c>
      <c r="N536" s="8">
        <f>VLOOKUP(A536,[1]Datasheet_2!$A$2:$H$611,7,FALSE)</f>
        <v>34</v>
      </c>
      <c r="O536" s="9">
        <f>VLOOKUP(A536,[1]Datasheet_2!$A$2:$H$611,8,FALSE)</f>
        <v>40</v>
      </c>
    </row>
    <row r="537" spans="1:15" x14ac:dyDescent="0.3">
      <c r="A537" s="4">
        <v>536</v>
      </c>
      <c r="B537" s="5">
        <v>40567</v>
      </c>
      <c r="C537" s="4">
        <v>1</v>
      </c>
      <c r="D537" s="4">
        <v>11</v>
      </c>
      <c r="E537" s="4" t="b">
        <v>0</v>
      </c>
      <c r="F537" s="4">
        <v>1</v>
      </c>
      <c r="G537" s="4">
        <v>1</v>
      </c>
      <c r="H537" s="4">
        <v>0.1</v>
      </c>
      <c r="I537">
        <f>VLOOKUP(A537,[1]Datasheet_2!$A$2:$H$611,2,FALSE)</f>
        <v>535</v>
      </c>
      <c r="J537">
        <f>VLOOKUP(A537,[1]Datasheet_2!$A$2:$H$611,3,FALSE)</f>
        <v>0.1212</v>
      </c>
      <c r="K537" s="9">
        <f>VLOOKUP(A537,[1]Datasheet_2!$A$2:$H$611,4,FALSE)</f>
        <v>0.46</v>
      </c>
      <c r="L537" s="8">
        <f>VLOOKUP(A537,[1]Datasheet_2!$A$2:$H$611,5,FALSE)</f>
        <v>0.1343</v>
      </c>
      <c r="M537" s="8">
        <f>VLOOKUP(A537,[1]Datasheet_2!$A$2:$H$611,6,FALSE)</f>
        <v>3</v>
      </c>
      <c r="N537" s="8">
        <f>VLOOKUP(A537,[1]Datasheet_2!$A$2:$H$611,7,FALSE)</f>
        <v>43</v>
      </c>
      <c r="O537" s="9">
        <f>VLOOKUP(A537,[1]Datasheet_2!$A$2:$H$611,8,FALSE)</f>
        <v>46</v>
      </c>
    </row>
    <row r="538" spans="1:15" x14ac:dyDescent="0.3">
      <c r="A538" s="4">
        <v>537</v>
      </c>
      <c r="B538" s="5">
        <v>40567</v>
      </c>
      <c r="C538" s="4">
        <v>1</v>
      </c>
      <c r="D538" s="4">
        <v>12</v>
      </c>
      <c r="E538" s="4" t="b">
        <v>0</v>
      </c>
      <c r="F538" s="4">
        <v>1</v>
      </c>
      <c r="G538" s="4">
        <v>2</v>
      </c>
      <c r="H538" s="4">
        <v>0.12</v>
      </c>
      <c r="I538">
        <f>VLOOKUP(A538,[1]Datasheet_2!$A$2:$H$611,2,FALSE)</f>
        <v>536</v>
      </c>
      <c r="J538">
        <f>VLOOKUP(A538,[1]Datasheet_2!$A$2:$H$611,3,FALSE)</f>
        <v>0.13639999999999999</v>
      </c>
      <c r="K538" s="9">
        <f>VLOOKUP(A538,[1]Datasheet_2!$A$2:$H$611,4,FALSE)</f>
        <v>0.42</v>
      </c>
      <c r="L538" s="8">
        <f>VLOOKUP(A538,[1]Datasheet_2!$A$2:$H$611,5,FALSE)</f>
        <v>0.19400000000000001</v>
      </c>
      <c r="M538" s="8">
        <f>VLOOKUP(A538,[1]Datasheet_2!$A$2:$H$611,6,FALSE)</f>
        <v>11</v>
      </c>
      <c r="N538" s="8">
        <f>VLOOKUP(A538,[1]Datasheet_2!$A$2:$H$611,7,FALSE)</f>
        <v>52</v>
      </c>
      <c r="O538" s="9">
        <f>VLOOKUP(A538,[1]Datasheet_2!$A$2:$H$611,8,FALSE)</f>
        <v>63</v>
      </c>
    </row>
    <row r="539" spans="1:15" x14ac:dyDescent="0.3">
      <c r="A539" s="4">
        <v>538</v>
      </c>
      <c r="B539" s="5">
        <v>40567</v>
      </c>
      <c r="C539" s="4">
        <v>1</v>
      </c>
      <c r="D539" s="4">
        <v>13</v>
      </c>
      <c r="E539" s="4" t="b">
        <v>0</v>
      </c>
      <c r="F539" s="4">
        <v>1</v>
      </c>
      <c r="G539" s="4">
        <v>2</v>
      </c>
      <c r="H539" s="4">
        <v>0.14000000000000001</v>
      </c>
      <c r="I539">
        <f>VLOOKUP(A539,[1]Datasheet_2!$A$2:$H$611,2,FALSE)</f>
        <v>537</v>
      </c>
      <c r="J539">
        <f>VLOOKUP(A539,[1]Datasheet_2!$A$2:$H$611,3,FALSE)</f>
        <v>0.13639999999999999</v>
      </c>
      <c r="K539" s="9">
        <f>VLOOKUP(A539,[1]Datasheet_2!$A$2:$H$611,4,FALSE)</f>
        <v>0.43</v>
      </c>
      <c r="L539" s="8">
        <f>VLOOKUP(A539,[1]Datasheet_2!$A$2:$H$611,5,FALSE)</f>
        <v>0.22389999999999999</v>
      </c>
      <c r="M539" s="8">
        <f>VLOOKUP(A539,[1]Datasheet_2!$A$2:$H$611,6,FALSE)</f>
        <v>6</v>
      </c>
      <c r="N539" s="8">
        <f>VLOOKUP(A539,[1]Datasheet_2!$A$2:$H$611,7,FALSE)</f>
        <v>54</v>
      </c>
      <c r="O539" s="9">
        <f>VLOOKUP(A539,[1]Datasheet_2!$A$2:$H$611,8,FALSE)</f>
        <v>60</v>
      </c>
    </row>
    <row r="540" spans="1:15" x14ac:dyDescent="0.3">
      <c r="A540" s="4">
        <v>539</v>
      </c>
      <c r="B540" s="5">
        <v>40567</v>
      </c>
      <c r="C540" s="4">
        <v>1</v>
      </c>
      <c r="D540" s="4">
        <v>14</v>
      </c>
      <c r="E540" s="4" t="b">
        <v>0</v>
      </c>
      <c r="F540" s="4">
        <v>1</v>
      </c>
      <c r="G540" s="4">
        <v>2</v>
      </c>
      <c r="H540" s="4">
        <v>0.14000000000000001</v>
      </c>
      <c r="I540">
        <f>VLOOKUP(A540,[1]Datasheet_2!$A$2:$H$611,2,FALSE)</f>
        <v>538</v>
      </c>
      <c r="J540">
        <f>VLOOKUP(A540,[1]Datasheet_2!$A$2:$H$611,3,FALSE)</f>
        <v>0.13639999999999999</v>
      </c>
      <c r="K540" s="9">
        <f>VLOOKUP(A540,[1]Datasheet_2!$A$2:$H$611,4,FALSE)</f>
        <v>0.46</v>
      </c>
      <c r="L540" s="8">
        <f>VLOOKUP(A540,[1]Datasheet_2!$A$2:$H$611,5,FALSE)</f>
        <v>0.22389999999999999</v>
      </c>
      <c r="M540" s="8">
        <f>VLOOKUP(A540,[1]Datasheet_2!$A$2:$H$611,6,FALSE)</f>
        <v>2</v>
      </c>
      <c r="N540" s="8">
        <f>VLOOKUP(A540,[1]Datasheet_2!$A$2:$H$611,7,FALSE)</f>
        <v>43</v>
      </c>
      <c r="O540" s="9">
        <f>VLOOKUP(A540,[1]Datasheet_2!$A$2:$H$611,8,FALSE)</f>
        <v>45</v>
      </c>
    </row>
    <row r="541" spans="1:15" x14ac:dyDescent="0.3">
      <c r="A541" s="4">
        <v>540</v>
      </c>
      <c r="B541" s="5">
        <v>40567</v>
      </c>
      <c r="C541" s="4">
        <v>1</v>
      </c>
      <c r="D541" s="4">
        <v>15</v>
      </c>
      <c r="E541" s="4" t="b">
        <v>0</v>
      </c>
      <c r="F541" s="4">
        <v>1</v>
      </c>
      <c r="G541" s="4">
        <v>1</v>
      </c>
      <c r="H541" s="4">
        <v>0.16</v>
      </c>
      <c r="I541">
        <f>VLOOKUP(A541,[1]Datasheet_2!$A$2:$H$611,2,FALSE)</f>
        <v>539</v>
      </c>
      <c r="J541">
        <f>VLOOKUP(A541,[1]Datasheet_2!$A$2:$H$611,3,FALSE)</f>
        <v>0.16669999999999999</v>
      </c>
      <c r="K541" s="9">
        <f>VLOOKUP(A541,[1]Datasheet_2!$A$2:$H$611,4,FALSE)</f>
        <v>0.4</v>
      </c>
      <c r="L541" s="8">
        <f>VLOOKUP(A541,[1]Datasheet_2!$A$2:$H$611,5,FALSE)</f>
        <v>0.16420000000000001</v>
      </c>
      <c r="M541" s="8">
        <f>VLOOKUP(A541,[1]Datasheet_2!$A$2:$H$611,6,FALSE)</f>
        <v>7</v>
      </c>
      <c r="N541" s="8">
        <f>VLOOKUP(A541,[1]Datasheet_2!$A$2:$H$611,7,FALSE)</f>
        <v>50</v>
      </c>
      <c r="O541" s="9">
        <f>VLOOKUP(A541,[1]Datasheet_2!$A$2:$H$611,8,FALSE)</f>
        <v>57</v>
      </c>
    </row>
    <row r="542" spans="1:15" x14ac:dyDescent="0.3">
      <c r="A542" s="4">
        <v>541</v>
      </c>
      <c r="B542" s="5">
        <v>40567</v>
      </c>
      <c r="C542" s="4">
        <v>1</v>
      </c>
      <c r="D542" s="4">
        <v>16</v>
      </c>
      <c r="E542" s="4" t="b">
        <v>0</v>
      </c>
      <c r="F542" s="4">
        <v>1</v>
      </c>
      <c r="G542" s="4">
        <v>1</v>
      </c>
      <c r="H542" s="4">
        <v>0.16</v>
      </c>
      <c r="I542">
        <f>VLOOKUP(A542,[1]Datasheet_2!$A$2:$H$611,2,FALSE)</f>
        <v>540</v>
      </c>
      <c r="J542">
        <f>VLOOKUP(A542,[1]Datasheet_2!$A$2:$H$611,3,FALSE)</f>
        <v>0.1515</v>
      </c>
      <c r="K542" s="9">
        <f>VLOOKUP(A542,[1]Datasheet_2!$A$2:$H$611,4,FALSE)</f>
        <v>0.47</v>
      </c>
      <c r="L542" s="8">
        <f>VLOOKUP(A542,[1]Datasheet_2!$A$2:$H$611,5,FALSE)</f>
        <v>0.25369999999999998</v>
      </c>
      <c r="M542" s="8">
        <f>VLOOKUP(A542,[1]Datasheet_2!$A$2:$H$611,6,FALSE)</f>
        <v>4</v>
      </c>
      <c r="N542" s="8">
        <f>VLOOKUP(A542,[1]Datasheet_2!$A$2:$H$611,7,FALSE)</f>
        <v>66</v>
      </c>
      <c r="O542" s="9">
        <f>VLOOKUP(A542,[1]Datasheet_2!$A$2:$H$611,8,FALSE)</f>
        <v>70</v>
      </c>
    </row>
    <row r="543" spans="1:15" x14ac:dyDescent="0.3">
      <c r="A543" s="4">
        <v>542</v>
      </c>
      <c r="B543" s="5">
        <v>40567</v>
      </c>
      <c r="C543" s="4">
        <v>1</v>
      </c>
      <c r="D543" s="4">
        <v>17</v>
      </c>
      <c r="E543" s="4" t="b">
        <v>0</v>
      </c>
      <c r="F543" s="4">
        <v>1</v>
      </c>
      <c r="G543" s="4">
        <v>1</v>
      </c>
      <c r="H543" s="4">
        <v>0.14000000000000001</v>
      </c>
      <c r="I543">
        <f>VLOOKUP(A543,[1]Datasheet_2!$A$2:$H$611,2,FALSE)</f>
        <v>541</v>
      </c>
      <c r="J543">
        <f>VLOOKUP(A543,[1]Datasheet_2!$A$2:$H$611,3,FALSE)</f>
        <v>0.1212</v>
      </c>
      <c r="K543" s="9">
        <f>VLOOKUP(A543,[1]Datasheet_2!$A$2:$H$611,4,FALSE)</f>
        <v>0.5</v>
      </c>
      <c r="L543" s="8">
        <f>VLOOKUP(A543,[1]Datasheet_2!$A$2:$H$611,5,FALSE)</f>
        <v>0.25369999999999998</v>
      </c>
      <c r="M543" s="8">
        <f>VLOOKUP(A543,[1]Datasheet_2!$A$2:$H$611,6,FALSE)</f>
        <v>6</v>
      </c>
      <c r="N543" s="8">
        <f>VLOOKUP(A543,[1]Datasheet_2!$A$2:$H$611,7,FALSE)</f>
        <v>178</v>
      </c>
      <c r="O543" s="9">
        <f>VLOOKUP(A543,[1]Datasheet_2!$A$2:$H$611,8,FALSE)</f>
        <v>184</v>
      </c>
    </row>
    <row r="544" spans="1:15" x14ac:dyDescent="0.3">
      <c r="A544" s="4">
        <v>543</v>
      </c>
      <c r="B544" s="5">
        <v>40567</v>
      </c>
      <c r="C544" s="4">
        <v>1</v>
      </c>
      <c r="D544" s="4">
        <v>18</v>
      </c>
      <c r="E544" s="4" t="b">
        <v>0</v>
      </c>
      <c r="F544" s="4">
        <v>1</v>
      </c>
      <c r="G544" s="4">
        <v>1</v>
      </c>
      <c r="H544" s="4">
        <v>0.14000000000000001</v>
      </c>
      <c r="I544">
        <f>VLOOKUP(A544,[1]Datasheet_2!$A$2:$H$611,2,FALSE)</f>
        <v>542</v>
      </c>
      <c r="J544">
        <f>VLOOKUP(A544,[1]Datasheet_2!$A$2:$H$611,3,FALSE)</f>
        <v>0.13639999999999999</v>
      </c>
      <c r="K544" s="9">
        <f>VLOOKUP(A544,[1]Datasheet_2!$A$2:$H$611,4,FALSE)</f>
        <v>0.59</v>
      </c>
      <c r="L544" s="8">
        <f>VLOOKUP(A544,[1]Datasheet_2!$A$2:$H$611,5,FALSE)</f>
        <v>0.19400000000000001</v>
      </c>
      <c r="M544" s="8">
        <f>VLOOKUP(A544,[1]Datasheet_2!$A$2:$H$611,6,FALSE)</f>
        <v>8</v>
      </c>
      <c r="N544" s="8">
        <f>VLOOKUP(A544,[1]Datasheet_2!$A$2:$H$611,7,FALSE)</f>
        <v>145</v>
      </c>
      <c r="O544" s="9">
        <f>VLOOKUP(A544,[1]Datasheet_2!$A$2:$H$611,8,FALSE)</f>
        <v>153</v>
      </c>
    </row>
    <row r="545" spans="1:15" x14ac:dyDescent="0.3">
      <c r="A545" s="4">
        <v>544</v>
      </c>
      <c r="B545" s="5">
        <v>40567</v>
      </c>
      <c r="C545" s="4">
        <v>1</v>
      </c>
      <c r="D545" s="4">
        <v>19</v>
      </c>
      <c r="E545" s="4" t="b">
        <v>0</v>
      </c>
      <c r="F545" s="4">
        <v>1</v>
      </c>
      <c r="G545" s="4">
        <v>1</v>
      </c>
      <c r="H545" s="4">
        <v>0.14000000000000001</v>
      </c>
      <c r="I545">
        <f>VLOOKUP(A545,[1]Datasheet_2!$A$2:$H$611,2,FALSE)</f>
        <v>543</v>
      </c>
      <c r="J545">
        <f>VLOOKUP(A545,[1]Datasheet_2!$A$2:$H$611,3,FALSE)</f>
        <v>0.1515</v>
      </c>
      <c r="K545" s="9">
        <f>VLOOKUP(A545,[1]Datasheet_2!$A$2:$H$611,4,FALSE)</f>
        <v>0.54</v>
      </c>
      <c r="L545" s="8">
        <f>VLOOKUP(A545,[1]Datasheet_2!$A$2:$H$611,5,FALSE)</f>
        <v>0.16420000000000001</v>
      </c>
      <c r="M545" s="8">
        <f>VLOOKUP(A545,[1]Datasheet_2!$A$2:$H$611,6,FALSE)</f>
        <v>5</v>
      </c>
      <c r="N545" s="8">
        <f>VLOOKUP(A545,[1]Datasheet_2!$A$2:$H$611,7,FALSE)</f>
        <v>101</v>
      </c>
      <c r="O545" s="9">
        <f>VLOOKUP(A545,[1]Datasheet_2!$A$2:$H$611,8,FALSE)</f>
        <v>106</v>
      </c>
    </row>
    <row r="546" spans="1:15" x14ac:dyDescent="0.3">
      <c r="A546" s="4">
        <v>545</v>
      </c>
      <c r="B546" s="5">
        <v>40567</v>
      </c>
      <c r="C546" s="4">
        <v>1</v>
      </c>
      <c r="D546" s="4">
        <v>20</v>
      </c>
      <c r="E546" s="4" t="b">
        <v>0</v>
      </c>
      <c r="F546" s="4">
        <v>1</v>
      </c>
      <c r="G546" s="4">
        <v>1</v>
      </c>
      <c r="H546" s="4">
        <v>0.14000000000000001</v>
      </c>
      <c r="I546">
        <f>VLOOKUP(A546,[1]Datasheet_2!$A$2:$H$611,2,FALSE)</f>
        <v>544</v>
      </c>
      <c r="J546">
        <f>VLOOKUP(A546,[1]Datasheet_2!$A$2:$H$611,3,FALSE)</f>
        <v>0.13639999999999999</v>
      </c>
      <c r="K546" s="9">
        <f>VLOOKUP(A546,[1]Datasheet_2!$A$2:$H$611,4,FALSE)</f>
        <v>0.59</v>
      </c>
      <c r="L546" s="8">
        <f>VLOOKUP(A546,[1]Datasheet_2!$A$2:$H$611,5,FALSE)</f>
        <v>0.19400000000000001</v>
      </c>
      <c r="M546" s="8">
        <f>VLOOKUP(A546,[1]Datasheet_2!$A$2:$H$611,6,FALSE)</f>
        <v>1</v>
      </c>
      <c r="N546" s="8">
        <f>VLOOKUP(A546,[1]Datasheet_2!$A$2:$H$611,7,FALSE)</f>
        <v>80</v>
      </c>
      <c r="O546" s="9">
        <f>VLOOKUP(A546,[1]Datasheet_2!$A$2:$H$611,8,FALSE)</f>
        <v>81</v>
      </c>
    </row>
    <row r="547" spans="1:15" x14ac:dyDescent="0.3">
      <c r="A547" s="4">
        <v>546</v>
      </c>
      <c r="B547" s="5">
        <v>40567</v>
      </c>
      <c r="C547" s="4">
        <v>1</v>
      </c>
      <c r="D547" s="4">
        <v>21</v>
      </c>
      <c r="E547" s="4" t="b">
        <v>0</v>
      </c>
      <c r="F547" s="4">
        <v>1</v>
      </c>
      <c r="G547" s="4">
        <v>1</v>
      </c>
      <c r="H547" s="4">
        <v>0.14000000000000001</v>
      </c>
      <c r="I547">
        <f>VLOOKUP(A547,[1]Datasheet_2!$A$2:$H$611,2,FALSE)</f>
        <v>545</v>
      </c>
      <c r="J547">
        <f>VLOOKUP(A547,[1]Datasheet_2!$A$2:$H$611,3,FALSE)</f>
        <v>0.1515</v>
      </c>
      <c r="K547" s="9">
        <f>VLOOKUP(A547,[1]Datasheet_2!$A$2:$H$611,4,FALSE)</f>
        <v>0.63</v>
      </c>
      <c r="L547" s="8">
        <f>VLOOKUP(A547,[1]Datasheet_2!$A$2:$H$611,5,FALSE)</f>
        <v>0.16420000000000001</v>
      </c>
      <c r="M547" s="8">
        <f>VLOOKUP(A547,[1]Datasheet_2!$A$2:$H$611,6,FALSE)</f>
        <v>6</v>
      </c>
      <c r="N547" s="8">
        <f>VLOOKUP(A547,[1]Datasheet_2!$A$2:$H$611,7,FALSE)</f>
        <v>53</v>
      </c>
      <c r="O547" s="9">
        <f>VLOOKUP(A547,[1]Datasheet_2!$A$2:$H$611,8,FALSE)</f>
        <v>59</v>
      </c>
    </row>
    <row r="548" spans="1:15" x14ac:dyDescent="0.3">
      <c r="A548" s="4">
        <v>547</v>
      </c>
      <c r="B548" s="5">
        <v>40567</v>
      </c>
      <c r="C548" s="4">
        <v>1</v>
      </c>
      <c r="D548" s="4">
        <v>22</v>
      </c>
      <c r="E548" s="4" t="b">
        <v>0</v>
      </c>
      <c r="F548" s="4">
        <v>1</v>
      </c>
      <c r="G548" s="4">
        <v>2</v>
      </c>
      <c r="H548" s="4">
        <v>0.14000000000000001</v>
      </c>
      <c r="I548">
        <f>VLOOKUP(A548,[1]Datasheet_2!$A$2:$H$611,2,FALSE)</f>
        <v>546</v>
      </c>
      <c r="J548">
        <f>VLOOKUP(A548,[1]Datasheet_2!$A$2:$H$611,3,FALSE)</f>
        <v>0.13639999999999999</v>
      </c>
      <c r="K548" s="9">
        <f>VLOOKUP(A548,[1]Datasheet_2!$A$2:$H$611,4,FALSE)</f>
        <v>0.63</v>
      </c>
      <c r="L548" s="8">
        <f>VLOOKUP(A548,[1]Datasheet_2!$A$2:$H$611,5,FALSE)</f>
        <v>0.22389999999999999</v>
      </c>
      <c r="M548" s="8">
        <f>VLOOKUP(A548,[1]Datasheet_2!$A$2:$H$611,6,FALSE)</f>
        <v>3</v>
      </c>
      <c r="N548" s="8">
        <f>VLOOKUP(A548,[1]Datasheet_2!$A$2:$H$611,7,FALSE)</f>
        <v>32</v>
      </c>
      <c r="O548" s="9">
        <f>VLOOKUP(A548,[1]Datasheet_2!$A$2:$H$611,8,FALSE)</f>
        <v>35</v>
      </c>
    </row>
    <row r="549" spans="1:15" x14ac:dyDescent="0.3">
      <c r="A549" s="4">
        <v>548</v>
      </c>
      <c r="B549" s="5">
        <v>40567</v>
      </c>
      <c r="C549" s="4">
        <v>1</v>
      </c>
      <c r="D549" s="4">
        <v>23</v>
      </c>
      <c r="E549" s="4" t="b">
        <v>0</v>
      </c>
      <c r="F549" s="4">
        <v>1</v>
      </c>
      <c r="G549" s="4">
        <v>2</v>
      </c>
      <c r="H549" s="4">
        <v>0.16</v>
      </c>
      <c r="I549">
        <f>VLOOKUP(A549,[1]Datasheet_2!$A$2:$H$611,2,FALSE)</f>
        <v>547</v>
      </c>
      <c r="J549">
        <f>VLOOKUP(A549,[1]Datasheet_2!$A$2:$H$611,3,FALSE)</f>
        <v>0.1515</v>
      </c>
      <c r="K549" s="9">
        <f>VLOOKUP(A549,[1]Datasheet_2!$A$2:$H$611,4,FALSE)</f>
        <v>0.64</v>
      </c>
      <c r="L549" s="8">
        <f>VLOOKUP(A549,[1]Datasheet_2!$A$2:$H$611,5,FALSE)</f>
        <v>0.25369999999999998</v>
      </c>
      <c r="M549" s="8">
        <f>VLOOKUP(A549,[1]Datasheet_2!$A$2:$H$611,6,FALSE)</f>
        <v>3</v>
      </c>
      <c r="N549" s="8">
        <f>VLOOKUP(A549,[1]Datasheet_2!$A$2:$H$611,7,FALSE)</f>
        <v>21</v>
      </c>
      <c r="O549" s="9">
        <f>VLOOKUP(A549,[1]Datasheet_2!$A$2:$H$611,8,FALSE)</f>
        <v>24</v>
      </c>
    </row>
    <row r="550" spans="1:15" x14ac:dyDescent="0.3">
      <c r="A550" s="4">
        <v>549</v>
      </c>
      <c r="B550" s="5">
        <v>40568</v>
      </c>
      <c r="C550" s="4">
        <v>1</v>
      </c>
      <c r="D550" s="4">
        <v>0</v>
      </c>
      <c r="E550" s="4" t="b">
        <v>0</v>
      </c>
      <c r="F550" s="4">
        <v>2</v>
      </c>
      <c r="G550" s="4">
        <v>2</v>
      </c>
      <c r="H550" s="4">
        <v>0.16</v>
      </c>
      <c r="I550">
        <f>VLOOKUP(A550,[1]Datasheet_2!$A$2:$H$611,2,FALSE)</f>
        <v>548</v>
      </c>
      <c r="J550">
        <f>VLOOKUP(A550,[1]Datasheet_2!$A$2:$H$611,3,FALSE)</f>
        <v>0.13639999999999999</v>
      </c>
      <c r="K550" s="9">
        <f>VLOOKUP(A550,[1]Datasheet_2!$A$2:$H$611,4,FALSE)</f>
        <v>0.69</v>
      </c>
      <c r="L550" s="8">
        <f>VLOOKUP(A550,[1]Datasheet_2!$A$2:$H$611,5,FALSE)</f>
        <v>0.28360000000000002</v>
      </c>
      <c r="M550" s="8">
        <f>VLOOKUP(A550,[1]Datasheet_2!$A$2:$H$611,6,FALSE)</f>
        <v>3</v>
      </c>
      <c r="N550" s="8">
        <f>VLOOKUP(A550,[1]Datasheet_2!$A$2:$H$611,7,FALSE)</f>
        <v>6</v>
      </c>
      <c r="O550" s="9">
        <f>VLOOKUP(A550,[1]Datasheet_2!$A$2:$H$611,8,FALSE)</f>
        <v>9</v>
      </c>
    </row>
    <row r="551" spans="1:15" x14ac:dyDescent="0.3">
      <c r="A551" s="4">
        <v>550</v>
      </c>
      <c r="B551" s="5">
        <v>40568</v>
      </c>
      <c r="C551" s="4">
        <v>1</v>
      </c>
      <c r="D551" s="4">
        <v>1</v>
      </c>
      <c r="E551" s="4" t="b">
        <v>0</v>
      </c>
      <c r="F551" s="4">
        <v>2</v>
      </c>
      <c r="G551" s="4">
        <v>2</v>
      </c>
      <c r="H551" s="4">
        <v>0.16</v>
      </c>
      <c r="I551">
        <f>VLOOKUP(A551,[1]Datasheet_2!$A$2:$H$611,2,FALSE)</f>
        <v>549</v>
      </c>
      <c r="J551">
        <f>VLOOKUP(A551,[1]Datasheet_2!$A$2:$H$611,3,FALSE)</f>
        <v>0.16669999999999999</v>
      </c>
      <c r="K551" s="9">
        <f>VLOOKUP(A551,[1]Datasheet_2!$A$2:$H$611,4,FALSE)</f>
        <v>0.69</v>
      </c>
      <c r="L551" s="8">
        <f>VLOOKUP(A551,[1]Datasheet_2!$A$2:$H$611,5,FALSE)</f>
        <v>0.16420000000000001</v>
      </c>
      <c r="M551" s="8">
        <f>VLOOKUP(A551,[1]Datasheet_2!$A$2:$H$611,6,FALSE)</f>
        <v>0</v>
      </c>
      <c r="N551" s="8">
        <f>VLOOKUP(A551,[1]Datasheet_2!$A$2:$H$611,7,FALSE)</f>
        <v>5</v>
      </c>
      <c r="O551" s="9">
        <f>VLOOKUP(A551,[1]Datasheet_2!$A$2:$H$611,8,FALSE)</f>
        <v>5</v>
      </c>
    </row>
    <row r="552" spans="1:15" x14ac:dyDescent="0.3">
      <c r="A552" s="4">
        <v>551</v>
      </c>
      <c r="B552" s="5">
        <v>40568</v>
      </c>
      <c r="C552" s="4">
        <v>1</v>
      </c>
      <c r="D552" s="4">
        <v>2</v>
      </c>
      <c r="E552" s="4" t="b">
        <v>0</v>
      </c>
      <c r="F552" s="4">
        <v>2</v>
      </c>
      <c r="G552" s="4">
        <v>1</v>
      </c>
      <c r="H552" s="4">
        <v>0.16</v>
      </c>
      <c r="I552">
        <f>VLOOKUP(A552,[1]Datasheet_2!$A$2:$H$611,2,FALSE)</f>
        <v>550</v>
      </c>
      <c r="J552">
        <f>VLOOKUP(A552,[1]Datasheet_2!$A$2:$H$611,3,FALSE)</f>
        <v>0.1515</v>
      </c>
      <c r="K552" s="9">
        <f>VLOOKUP(A552,[1]Datasheet_2!$A$2:$H$611,4,FALSE)</f>
        <v>0.69</v>
      </c>
      <c r="L552" s="8">
        <f>VLOOKUP(A552,[1]Datasheet_2!$A$2:$H$611,5,FALSE)</f>
        <v>0.22389999999999999</v>
      </c>
      <c r="M552" s="8">
        <f>VLOOKUP(A552,[1]Datasheet_2!$A$2:$H$611,6,FALSE)</f>
        <v>0</v>
      </c>
      <c r="N552" s="8">
        <f>VLOOKUP(A552,[1]Datasheet_2!$A$2:$H$611,7,FALSE)</f>
        <v>2</v>
      </c>
      <c r="O552" s="9">
        <f>VLOOKUP(A552,[1]Datasheet_2!$A$2:$H$611,8,FALSE)</f>
        <v>2</v>
      </c>
    </row>
    <row r="553" spans="1:15" x14ac:dyDescent="0.3">
      <c r="A553" s="4">
        <v>552</v>
      </c>
      <c r="B553" s="5">
        <v>40568</v>
      </c>
      <c r="C553" s="4">
        <v>1</v>
      </c>
      <c r="D553" s="4">
        <v>4</v>
      </c>
      <c r="E553" s="4" t="b">
        <v>0</v>
      </c>
      <c r="F553" s="4">
        <v>2</v>
      </c>
      <c r="G553" s="4">
        <v>1</v>
      </c>
      <c r="H553" s="4">
        <v>0.14000000000000001</v>
      </c>
      <c r="I553">
        <f>VLOOKUP(A553,[1]Datasheet_2!$A$2:$H$611,2,FALSE)</f>
        <v>551</v>
      </c>
      <c r="J553">
        <f>VLOOKUP(A553,[1]Datasheet_2!$A$2:$H$611,3,FALSE)</f>
        <v>0.16669999999999999</v>
      </c>
      <c r="K553" s="9">
        <f>VLOOKUP(A553,[1]Datasheet_2!$A$2:$H$611,4,FALSE)</f>
        <v>0.74</v>
      </c>
      <c r="L553" s="8">
        <f>VLOOKUP(A553,[1]Datasheet_2!$A$2:$H$611,5,FALSE)</f>
        <v>0.1045</v>
      </c>
      <c r="M553" s="8">
        <f>VLOOKUP(A553,[1]Datasheet_2!$A$2:$H$611,6,FALSE)</f>
        <v>0</v>
      </c>
      <c r="N553" s="8">
        <f>VLOOKUP(A553,[1]Datasheet_2!$A$2:$H$611,7,FALSE)</f>
        <v>1</v>
      </c>
      <c r="O553" s="9">
        <f>VLOOKUP(A553,[1]Datasheet_2!$A$2:$H$611,8,FALSE)</f>
        <v>1</v>
      </c>
    </row>
    <row r="554" spans="1:15" x14ac:dyDescent="0.3">
      <c r="A554" s="4">
        <v>553</v>
      </c>
      <c r="B554" s="5">
        <v>40568</v>
      </c>
      <c r="C554" s="4">
        <v>1</v>
      </c>
      <c r="D554" s="4">
        <v>5</v>
      </c>
      <c r="E554" s="4" t="b">
        <v>0</v>
      </c>
      <c r="F554" s="4">
        <v>2</v>
      </c>
      <c r="G554" s="4">
        <v>1</v>
      </c>
      <c r="H554" s="4">
        <v>0.14000000000000001</v>
      </c>
      <c r="I554">
        <f>VLOOKUP(A554,[1]Datasheet_2!$A$2:$H$611,2,FALSE)</f>
        <v>552</v>
      </c>
      <c r="J554">
        <f>VLOOKUP(A554,[1]Datasheet_2!$A$2:$H$611,3,FALSE)</f>
        <v>0.13639999999999999</v>
      </c>
      <c r="K554" s="9">
        <f>VLOOKUP(A554,[1]Datasheet_2!$A$2:$H$611,4,FALSE)</f>
        <v>0.74</v>
      </c>
      <c r="L554" s="8">
        <f>VLOOKUP(A554,[1]Datasheet_2!$A$2:$H$611,5,FALSE)</f>
        <v>0.22389999999999999</v>
      </c>
      <c r="M554" s="8">
        <f>VLOOKUP(A554,[1]Datasheet_2!$A$2:$H$611,6,FALSE)</f>
        <v>0</v>
      </c>
      <c r="N554" s="8">
        <f>VLOOKUP(A554,[1]Datasheet_2!$A$2:$H$611,7,FALSE)</f>
        <v>9</v>
      </c>
      <c r="O554" s="9">
        <f>VLOOKUP(A554,[1]Datasheet_2!$A$2:$H$611,8,FALSE)</f>
        <v>9</v>
      </c>
    </row>
    <row r="555" spans="1:15" x14ac:dyDescent="0.3">
      <c r="A555" s="4">
        <v>554</v>
      </c>
      <c r="B555" s="5">
        <v>40568</v>
      </c>
      <c r="C555" s="4">
        <v>1</v>
      </c>
      <c r="D555" s="4">
        <v>6</v>
      </c>
      <c r="E555" s="4" t="b">
        <v>0</v>
      </c>
      <c r="F555" s="4">
        <v>2</v>
      </c>
      <c r="G555" s="4">
        <v>1</v>
      </c>
      <c r="H555" s="4">
        <v>0.16</v>
      </c>
      <c r="I555">
        <f>VLOOKUP(A555,[1]Datasheet_2!$A$2:$H$611,2,FALSE)</f>
        <v>553</v>
      </c>
      <c r="J555">
        <f>VLOOKUP(A555,[1]Datasheet_2!$A$2:$H$611,3,FALSE)</f>
        <v>0.18179999999999999</v>
      </c>
      <c r="K555" s="9">
        <f>VLOOKUP(A555,[1]Datasheet_2!$A$2:$H$611,4,FALSE)</f>
        <v>0.74</v>
      </c>
      <c r="L555" s="8">
        <f>VLOOKUP(A555,[1]Datasheet_2!$A$2:$H$611,5,FALSE)</f>
        <v>0.1045</v>
      </c>
      <c r="M555" s="8">
        <f>VLOOKUP(A555,[1]Datasheet_2!$A$2:$H$611,6,FALSE)</f>
        <v>1</v>
      </c>
      <c r="N555" s="8">
        <f>VLOOKUP(A555,[1]Datasheet_2!$A$2:$H$611,7,FALSE)</f>
        <v>35</v>
      </c>
      <c r="O555" s="9">
        <f>VLOOKUP(A555,[1]Datasheet_2!$A$2:$H$611,8,FALSE)</f>
        <v>36</v>
      </c>
    </row>
    <row r="556" spans="1:15" x14ac:dyDescent="0.3">
      <c r="A556" s="4">
        <v>555</v>
      </c>
      <c r="B556" s="5">
        <v>40568</v>
      </c>
      <c r="C556" s="4">
        <v>1</v>
      </c>
      <c r="D556" s="4">
        <v>7</v>
      </c>
      <c r="E556" s="4" t="b">
        <v>0</v>
      </c>
      <c r="F556" s="4">
        <v>2</v>
      </c>
      <c r="G556" s="4">
        <v>1</v>
      </c>
      <c r="H556" s="4">
        <v>0.16</v>
      </c>
      <c r="I556">
        <f>VLOOKUP(A556,[1]Datasheet_2!$A$2:$H$611,2,FALSE)</f>
        <v>554</v>
      </c>
      <c r="J556">
        <f>VLOOKUP(A556,[1]Datasheet_2!$A$2:$H$611,3,FALSE)</f>
        <v>0.1515</v>
      </c>
      <c r="K556" s="9">
        <f>VLOOKUP(A556,[1]Datasheet_2!$A$2:$H$611,4,FALSE)</f>
        <v>0.74</v>
      </c>
      <c r="L556" s="8">
        <f>VLOOKUP(A556,[1]Datasheet_2!$A$2:$H$611,5,FALSE)</f>
        <v>0.22389999999999999</v>
      </c>
      <c r="M556" s="8">
        <f>VLOOKUP(A556,[1]Datasheet_2!$A$2:$H$611,6,FALSE)</f>
        <v>5</v>
      </c>
      <c r="N556" s="8">
        <f>VLOOKUP(A556,[1]Datasheet_2!$A$2:$H$611,7,FALSE)</f>
        <v>103</v>
      </c>
      <c r="O556" s="9">
        <f>VLOOKUP(A556,[1]Datasheet_2!$A$2:$H$611,8,FALSE)</f>
        <v>108</v>
      </c>
    </row>
    <row r="557" spans="1:15" x14ac:dyDescent="0.3">
      <c r="A557" s="4">
        <v>556</v>
      </c>
      <c r="B557" s="5">
        <v>40568</v>
      </c>
      <c r="C557" s="4">
        <v>1</v>
      </c>
      <c r="D557" s="4">
        <v>8</v>
      </c>
      <c r="E557" s="4" t="b">
        <v>0</v>
      </c>
      <c r="F557" s="4">
        <v>2</v>
      </c>
      <c r="G557" s="4">
        <v>2</v>
      </c>
      <c r="H557" s="4">
        <v>0.16</v>
      </c>
      <c r="I557">
        <f>VLOOKUP(A557,[1]Datasheet_2!$A$2:$H$611,2,FALSE)</f>
        <v>555</v>
      </c>
      <c r="J557">
        <f>VLOOKUP(A557,[1]Datasheet_2!$A$2:$H$611,3,FALSE)</f>
        <v>0.18179999999999999</v>
      </c>
      <c r="K557" s="9">
        <f>VLOOKUP(A557,[1]Datasheet_2!$A$2:$H$611,4,FALSE)</f>
        <v>0.74</v>
      </c>
      <c r="L557" s="8">
        <f>VLOOKUP(A557,[1]Datasheet_2!$A$2:$H$611,5,FALSE)</f>
        <v>0.1343</v>
      </c>
      <c r="M557" s="8">
        <f>VLOOKUP(A557,[1]Datasheet_2!$A$2:$H$611,6,FALSE)</f>
        <v>5</v>
      </c>
      <c r="N557" s="8">
        <f>VLOOKUP(A557,[1]Datasheet_2!$A$2:$H$611,7,FALSE)</f>
        <v>233</v>
      </c>
      <c r="O557" s="9">
        <f>VLOOKUP(A557,[1]Datasheet_2!$A$2:$H$611,8,FALSE)</f>
        <v>238</v>
      </c>
    </row>
    <row r="558" spans="1:15" x14ac:dyDescent="0.3">
      <c r="A558" s="4">
        <v>557</v>
      </c>
      <c r="B558" s="5">
        <v>40568</v>
      </c>
      <c r="C558" s="4">
        <v>1</v>
      </c>
      <c r="D558" s="4">
        <v>9</v>
      </c>
      <c r="E558" s="4" t="b">
        <v>0</v>
      </c>
      <c r="F558" s="4">
        <v>2</v>
      </c>
      <c r="G558" s="4">
        <v>2</v>
      </c>
      <c r="H558" s="4">
        <v>0.2</v>
      </c>
      <c r="I558">
        <f>VLOOKUP(A558,[1]Datasheet_2!$A$2:$H$611,2,FALSE)</f>
        <v>556</v>
      </c>
      <c r="J558">
        <f>VLOOKUP(A558,[1]Datasheet_2!$A$2:$H$611,3,FALSE)</f>
        <v>0.2273</v>
      </c>
      <c r="K558" s="9">
        <f>VLOOKUP(A558,[1]Datasheet_2!$A$2:$H$611,4,FALSE)</f>
        <v>0.64</v>
      </c>
      <c r="L558" s="8">
        <f>VLOOKUP(A558,[1]Datasheet_2!$A$2:$H$611,5,FALSE)</f>
        <v>8.9599999999999999E-2</v>
      </c>
      <c r="M558" s="8">
        <f>VLOOKUP(A558,[1]Datasheet_2!$A$2:$H$611,6,FALSE)</f>
        <v>10</v>
      </c>
      <c r="N558" s="8">
        <f>VLOOKUP(A558,[1]Datasheet_2!$A$2:$H$611,7,FALSE)</f>
        <v>134</v>
      </c>
      <c r="O558" s="9">
        <f>VLOOKUP(A558,[1]Datasheet_2!$A$2:$H$611,8,FALSE)</f>
        <v>144</v>
      </c>
    </row>
    <row r="559" spans="1:15" x14ac:dyDescent="0.3">
      <c r="A559" s="4">
        <v>558</v>
      </c>
      <c r="B559" s="5">
        <v>40568</v>
      </c>
      <c r="C559" s="4">
        <v>1</v>
      </c>
      <c r="D559" s="4">
        <v>10</v>
      </c>
      <c r="E559" s="4" t="b">
        <v>0</v>
      </c>
      <c r="F559" s="4">
        <v>2</v>
      </c>
      <c r="G559" s="4">
        <v>2</v>
      </c>
      <c r="H559" s="4">
        <v>0.22</v>
      </c>
      <c r="I559">
        <f>VLOOKUP(A559,[1]Datasheet_2!$A$2:$H$611,2,FALSE)</f>
        <v>557</v>
      </c>
      <c r="J559">
        <f>VLOOKUP(A559,[1]Datasheet_2!$A$2:$H$611,3,FALSE)</f>
        <v>0.2424</v>
      </c>
      <c r="K559" s="9">
        <f>VLOOKUP(A559,[1]Datasheet_2!$A$2:$H$611,4,FALSE)</f>
        <v>0.6</v>
      </c>
      <c r="L559" s="8">
        <f>VLOOKUP(A559,[1]Datasheet_2!$A$2:$H$611,5,FALSE)</f>
        <v>0.1045</v>
      </c>
      <c r="M559" s="8">
        <f>VLOOKUP(A559,[1]Datasheet_2!$A$2:$H$611,6,FALSE)</f>
        <v>6</v>
      </c>
      <c r="N559" s="8">
        <f>VLOOKUP(A559,[1]Datasheet_2!$A$2:$H$611,7,FALSE)</f>
        <v>49</v>
      </c>
      <c r="O559" s="9">
        <f>VLOOKUP(A559,[1]Datasheet_2!$A$2:$H$611,8,FALSE)</f>
        <v>55</v>
      </c>
    </row>
    <row r="560" spans="1:15" x14ac:dyDescent="0.3">
      <c r="A560" s="4">
        <v>559</v>
      </c>
      <c r="B560" s="5">
        <v>40568</v>
      </c>
      <c r="C560" s="4">
        <v>1</v>
      </c>
      <c r="D560" s="4">
        <v>11</v>
      </c>
      <c r="E560" s="4" t="b">
        <v>0</v>
      </c>
      <c r="F560" s="4">
        <v>2</v>
      </c>
      <c r="G560" s="4">
        <v>2</v>
      </c>
      <c r="H560" s="4">
        <v>0.24</v>
      </c>
      <c r="I560">
        <f>VLOOKUP(A560,[1]Datasheet_2!$A$2:$H$611,2,FALSE)</f>
        <v>558</v>
      </c>
      <c r="J560">
        <f>VLOOKUP(A560,[1]Datasheet_2!$A$2:$H$611,3,FALSE)</f>
        <v>0.2424</v>
      </c>
      <c r="K560" s="9">
        <f>VLOOKUP(A560,[1]Datasheet_2!$A$2:$H$611,4,FALSE)</f>
        <v>0.6</v>
      </c>
      <c r="L560" s="8">
        <f>VLOOKUP(A560,[1]Datasheet_2!$A$2:$H$611,5,FALSE)</f>
        <v>0.1343</v>
      </c>
      <c r="M560" s="8">
        <f>VLOOKUP(A560,[1]Datasheet_2!$A$2:$H$611,6,FALSE)</f>
        <v>6</v>
      </c>
      <c r="N560" s="8">
        <f>VLOOKUP(A560,[1]Datasheet_2!$A$2:$H$611,7,FALSE)</f>
        <v>55</v>
      </c>
      <c r="O560" s="9">
        <f>VLOOKUP(A560,[1]Datasheet_2!$A$2:$H$611,8,FALSE)</f>
        <v>61</v>
      </c>
    </row>
    <row r="561" spans="1:15" x14ac:dyDescent="0.3">
      <c r="A561" s="4">
        <v>560</v>
      </c>
      <c r="B561" s="5">
        <v>40568</v>
      </c>
      <c r="C561" s="4">
        <v>1</v>
      </c>
      <c r="D561" s="4">
        <v>12</v>
      </c>
      <c r="E561" s="4" t="b">
        <v>0</v>
      </c>
      <c r="F561" s="4">
        <v>2</v>
      </c>
      <c r="G561" s="4">
        <v>2</v>
      </c>
      <c r="H561" s="4">
        <v>0.26</v>
      </c>
      <c r="I561">
        <f>VLOOKUP(A561,[1]Datasheet_2!$A$2:$H$611,2,FALSE)</f>
        <v>559</v>
      </c>
      <c r="J561">
        <f>VLOOKUP(A561,[1]Datasheet_2!$A$2:$H$611,3,FALSE)</f>
        <v>0.28789999999999999</v>
      </c>
      <c r="K561" s="9">
        <f>VLOOKUP(A561,[1]Datasheet_2!$A$2:$H$611,4,FALSE)</f>
        <v>0.56000000000000005</v>
      </c>
      <c r="L561" s="8">
        <f>VLOOKUP(A561,[1]Datasheet_2!$A$2:$H$611,5,FALSE)</f>
        <v>8.9599999999999999E-2</v>
      </c>
      <c r="M561" s="8">
        <f>VLOOKUP(A561,[1]Datasheet_2!$A$2:$H$611,6,FALSE)</f>
        <v>21</v>
      </c>
      <c r="N561" s="8">
        <f>VLOOKUP(A561,[1]Datasheet_2!$A$2:$H$611,7,FALSE)</f>
        <v>85</v>
      </c>
      <c r="O561" s="9">
        <f>VLOOKUP(A561,[1]Datasheet_2!$A$2:$H$611,8,FALSE)</f>
        <v>106</v>
      </c>
    </row>
    <row r="562" spans="1:15" x14ac:dyDescent="0.3">
      <c r="A562" s="4">
        <v>561</v>
      </c>
      <c r="B562" s="5">
        <v>40568</v>
      </c>
      <c r="C562" s="4">
        <v>1</v>
      </c>
      <c r="D562" s="4">
        <v>13</v>
      </c>
      <c r="E562" s="4" t="b">
        <v>0</v>
      </c>
      <c r="F562" s="4">
        <v>2</v>
      </c>
      <c r="G562" s="4">
        <v>2</v>
      </c>
      <c r="H562" s="4">
        <v>0.26</v>
      </c>
      <c r="I562">
        <f>VLOOKUP(A562,[1]Datasheet_2!$A$2:$H$611,2,FALSE)</f>
        <v>560</v>
      </c>
      <c r="J562">
        <f>VLOOKUP(A562,[1]Datasheet_2!$A$2:$H$611,3,FALSE)</f>
        <v>0.2727</v>
      </c>
      <c r="K562" s="9">
        <f>VLOOKUP(A562,[1]Datasheet_2!$A$2:$H$611,4,FALSE)</f>
        <v>0.56000000000000005</v>
      </c>
      <c r="L562" s="8">
        <f>VLOOKUP(A562,[1]Datasheet_2!$A$2:$H$611,5,FALSE)</f>
        <v>0.1343</v>
      </c>
      <c r="M562" s="8">
        <f>VLOOKUP(A562,[1]Datasheet_2!$A$2:$H$611,6,FALSE)</f>
        <v>21</v>
      </c>
      <c r="N562" s="8">
        <f>VLOOKUP(A562,[1]Datasheet_2!$A$2:$H$611,7,FALSE)</f>
        <v>72</v>
      </c>
      <c r="O562" s="9">
        <f>VLOOKUP(A562,[1]Datasheet_2!$A$2:$H$611,8,FALSE)</f>
        <v>93</v>
      </c>
    </row>
    <row r="563" spans="1:15" x14ac:dyDescent="0.3">
      <c r="A563" s="4">
        <v>562</v>
      </c>
      <c r="B563" s="5">
        <v>40568</v>
      </c>
      <c r="C563" s="4">
        <v>1</v>
      </c>
      <c r="D563" s="4">
        <v>14</v>
      </c>
      <c r="E563" s="4" t="b">
        <v>0</v>
      </c>
      <c r="F563" s="4">
        <v>2</v>
      </c>
      <c r="G563" s="4">
        <v>2</v>
      </c>
      <c r="H563" s="4">
        <v>0.3</v>
      </c>
      <c r="I563">
        <f>VLOOKUP(A563,[1]Datasheet_2!$A$2:$H$611,2,FALSE)</f>
        <v>561</v>
      </c>
      <c r="J563">
        <f>VLOOKUP(A563,[1]Datasheet_2!$A$2:$H$611,3,FALSE)</f>
        <v>0.33329999999999999</v>
      </c>
      <c r="K563" s="9">
        <f>VLOOKUP(A563,[1]Datasheet_2!$A$2:$H$611,4,FALSE)</f>
        <v>0.45</v>
      </c>
      <c r="L563" s="8">
        <f>VLOOKUP(A563,[1]Datasheet_2!$A$2:$H$611,5,FALSE)</f>
        <v>0</v>
      </c>
      <c r="M563" s="8">
        <f>VLOOKUP(A563,[1]Datasheet_2!$A$2:$H$611,6,FALSE)</f>
        <v>11</v>
      </c>
      <c r="N563" s="8">
        <f>VLOOKUP(A563,[1]Datasheet_2!$A$2:$H$611,7,FALSE)</f>
        <v>57</v>
      </c>
      <c r="O563" s="9">
        <f>VLOOKUP(A563,[1]Datasheet_2!$A$2:$H$611,8,FALSE)</f>
        <v>68</v>
      </c>
    </row>
    <row r="564" spans="1:15" x14ac:dyDescent="0.3">
      <c r="A564" s="4">
        <v>563</v>
      </c>
      <c r="B564" s="5">
        <v>40568</v>
      </c>
      <c r="C564" s="4">
        <v>1</v>
      </c>
      <c r="D564" s="4">
        <v>15</v>
      </c>
      <c r="E564" s="4" t="b">
        <v>0</v>
      </c>
      <c r="F564" s="4">
        <v>2</v>
      </c>
      <c r="G564" s="4">
        <v>2</v>
      </c>
      <c r="H564" s="4">
        <v>0.32</v>
      </c>
      <c r="I564">
        <f>VLOOKUP(A564,[1]Datasheet_2!$A$2:$H$611,2,FALSE)</f>
        <v>562</v>
      </c>
      <c r="J564">
        <f>VLOOKUP(A564,[1]Datasheet_2!$A$2:$H$611,3,FALSE)</f>
        <v>0.34849999999999998</v>
      </c>
      <c r="K564" s="9">
        <f>VLOOKUP(A564,[1]Datasheet_2!$A$2:$H$611,4,FALSE)</f>
        <v>0.42</v>
      </c>
      <c r="L564" s="8">
        <f>VLOOKUP(A564,[1]Datasheet_2!$A$2:$H$611,5,FALSE)</f>
        <v>0</v>
      </c>
      <c r="M564" s="8">
        <f>VLOOKUP(A564,[1]Datasheet_2!$A$2:$H$611,6,FALSE)</f>
        <v>21</v>
      </c>
      <c r="N564" s="8">
        <f>VLOOKUP(A564,[1]Datasheet_2!$A$2:$H$611,7,FALSE)</f>
        <v>63</v>
      </c>
      <c r="O564" s="9">
        <f>VLOOKUP(A564,[1]Datasheet_2!$A$2:$H$611,8,FALSE)</f>
        <v>84</v>
      </c>
    </row>
    <row r="565" spans="1:15" x14ac:dyDescent="0.3">
      <c r="A565" s="4">
        <v>564</v>
      </c>
      <c r="B565" s="5">
        <v>40568</v>
      </c>
      <c r="C565" s="4">
        <v>1</v>
      </c>
      <c r="D565" s="4">
        <v>16</v>
      </c>
      <c r="E565" s="4" t="b">
        <v>0</v>
      </c>
      <c r="F565" s="4">
        <v>2</v>
      </c>
      <c r="G565" s="4">
        <v>2</v>
      </c>
      <c r="H565" s="4">
        <v>0.32</v>
      </c>
      <c r="I565">
        <f>VLOOKUP(A565,[1]Datasheet_2!$A$2:$H$611,2,FALSE)</f>
        <v>563</v>
      </c>
      <c r="J565">
        <f>VLOOKUP(A565,[1]Datasheet_2!$A$2:$H$611,3,FALSE)</f>
        <v>0.34849999999999998</v>
      </c>
      <c r="K565" s="9">
        <f>VLOOKUP(A565,[1]Datasheet_2!$A$2:$H$611,4,FALSE)</f>
        <v>0.42</v>
      </c>
      <c r="L565" s="8">
        <f>VLOOKUP(A565,[1]Datasheet_2!$A$2:$H$611,5,FALSE)</f>
        <v>0</v>
      </c>
      <c r="M565" s="8">
        <f>VLOOKUP(A565,[1]Datasheet_2!$A$2:$H$611,6,FALSE)</f>
        <v>14</v>
      </c>
      <c r="N565" s="8">
        <f>VLOOKUP(A565,[1]Datasheet_2!$A$2:$H$611,7,FALSE)</f>
        <v>102</v>
      </c>
      <c r="O565" s="9">
        <f>VLOOKUP(A565,[1]Datasheet_2!$A$2:$H$611,8,FALSE)</f>
        <v>116</v>
      </c>
    </row>
    <row r="566" spans="1:15" x14ac:dyDescent="0.3">
      <c r="A566" s="4">
        <v>565</v>
      </c>
      <c r="B566" s="5">
        <v>40568</v>
      </c>
      <c r="C566" s="4">
        <v>1</v>
      </c>
      <c r="D566" s="4">
        <v>17</v>
      </c>
      <c r="E566" s="4" t="b">
        <v>0</v>
      </c>
      <c r="F566" s="4">
        <v>2</v>
      </c>
      <c r="G566" s="4">
        <v>1</v>
      </c>
      <c r="H566" s="4">
        <v>0.3</v>
      </c>
      <c r="I566">
        <f>VLOOKUP(A566,[1]Datasheet_2!$A$2:$H$611,2,FALSE)</f>
        <v>564</v>
      </c>
      <c r="J566">
        <f>VLOOKUP(A566,[1]Datasheet_2!$A$2:$H$611,3,FALSE)</f>
        <v>0.33329999999999999</v>
      </c>
      <c r="K566" s="9">
        <f>VLOOKUP(A566,[1]Datasheet_2!$A$2:$H$611,4,FALSE)</f>
        <v>0.45</v>
      </c>
      <c r="L566" s="8">
        <f>VLOOKUP(A566,[1]Datasheet_2!$A$2:$H$611,5,FALSE)</f>
        <v>0</v>
      </c>
      <c r="M566" s="8">
        <f>VLOOKUP(A566,[1]Datasheet_2!$A$2:$H$611,6,FALSE)</f>
        <v>14</v>
      </c>
      <c r="N566" s="8">
        <f>VLOOKUP(A566,[1]Datasheet_2!$A$2:$H$611,7,FALSE)</f>
        <v>208</v>
      </c>
      <c r="O566" s="9">
        <f>VLOOKUP(A566,[1]Datasheet_2!$A$2:$H$611,8,FALSE)</f>
        <v>222</v>
      </c>
    </row>
    <row r="567" spans="1:15" x14ac:dyDescent="0.3">
      <c r="A567" s="4">
        <v>566</v>
      </c>
      <c r="B567" s="5">
        <v>40568</v>
      </c>
      <c r="C567" s="4">
        <v>1</v>
      </c>
      <c r="D567" s="4">
        <v>18</v>
      </c>
      <c r="E567" s="4" t="b">
        <v>0</v>
      </c>
      <c r="F567" s="4">
        <v>2</v>
      </c>
      <c r="G567" s="4">
        <v>2</v>
      </c>
      <c r="H567" s="4">
        <v>0.3</v>
      </c>
      <c r="I567">
        <f>VLOOKUP(A567,[1]Datasheet_2!$A$2:$H$611,2,FALSE)</f>
        <v>565</v>
      </c>
      <c r="J567">
        <f>VLOOKUP(A567,[1]Datasheet_2!$A$2:$H$611,3,FALSE)</f>
        <v>0.31819999999999998</v>
      </c>
      <c r="K567" s="9">
        <f>VLOOKUP(A567,[1]Datasheet_2!$A$2:$H$611,4,FALSE)</f>
        <v>0.49</v>
      </c>
      <c r="L567" s="8">
        <f>VLOOKUP(A567,[1]Datasheet_2!$A$2:$H$611,5,FALSE)</f>
        <v>8.9599999999999999E-2</v>
      </c>
      <c r="M567" s="8">
        <f>VLOOKUP(A567,[1]Datasheet_2!$A$2:$H$611,6,FALSE)</f>
        <v>7</v>
      </c>
      <c r="N567" s="8">
        <f>VLOOKUP(A567,[1]Datasheet_2!$A$2:$H$611,7,FALSE)</f>
        <v>218</v>
      </c>
      <c r="O567" s="9">
        <f>VLOOKUP(A567,[1]Datasheet_2!$A$2:$H$611,8,FALSE)</f>
        <v>225</v>
      </c>
    </row>
    <row r="568" spans="1:15" x14ac:dyDescent="0.3">
      <c r="A568" s="4">
        <v>567</v>
      </c>
      <c r="B568" s="5">
        <v>40568</v>
      </c>
      <c r="C568" s="4">
        <v>1</v>
      </c>
      <c r="D568" s="4">
        <v>19</v>
      </c>
      <c r="E568" s="4" t="b">
        <v>0</v>
      </c>
      <c r="F568" s="4">
        <v>2</v>
      </c>
      <c r="G568" s="4">
        <v>2</v>
      </c>
      <c r="H568" s="4">
        <v>0.26</v>
      </c>
      <c r="I568">
        <f>VLOOKUP(A568,[1]Datasheet_2!$A$2:$H$611,2,FALSE)</f>
        <v>566</v>
      </c>
      <c r="J568">
        <f>VLOOKUP(A568,[1]Datasheet_2!$A$2:$H$611,3,FALSE)</f>
        <v>0.2576</v>
      </c>
      <c r="K568" s="9">
        <f>VLOOKUP(A568,[1]Datasheet_2!$A$2:$H$611,4,FALSE)</f>
        <v>0.65</v>
      </c>
      <c r="L568" s="8">
        <f>VLOOKUP(A568,[1]Datasheet_2!$A$2:$H$611,5,FALSE)</f>
        <v>0.16420000000000001</v>
      </c>
      <c r="M568" s="8">
        <f>VLOOKUP(A568,[1]Datasheet_2!$A$2:$H$611,6,FALSE)</f>
        <v>13</v>
      </c>
      <c r="N568" s="8">
        <f>VLOOKUP(A568,[1]Datasheet_2!$A$2:$H$611,7,FALSE)</f>
        <v>133</v>
      </c>
      <c r="O568" s="9">
        <f>VLOOKUP(A568,[1]Datasheet_2!$A$2:$H$611,8,FALSE)</f>
        <v>146</v>
      </c>
    </row>
    <row r="569" spans="1:15" x14ac:dyDescent="0.3">
      <c r="A569" s="4">
        <v>568</v>
      </c>
      <c r="B569" s="5">
        <v>40568</v>
      </c>
      <c r="C569" s="4">
        <v>1</v>
      </c>
      <c r="D569" s="4">
        <v>20</v>
      </c>
      <c r="E569" s="4" t="b">
        <v>0</v>
      </c>
      <c r="F569" s="4">
        <v>2</v>
      </c>
      <c r="G569" s="4">
        <v>1</v>
      </c>
      <c r="H569" s="4">
        <v>0.24</v>
      </c>
      <c r="I569">
        <f>VLOOKUP(A569,[1]Datasheet_2!$A$2:$H$611,2,FALSE)</f>
        <v>567</v>
      </c>
      <c r="J569">
        <f>VLOOKUP(A569,[1]Datasheet_2!$A$2:$H$611,3,FALSE)</f>
        <v>0.2273</v>
      </c>
      <c r="K569" s="9">
        <f>VLOOKUP(A569,[1]Datasheet_2!$A$2:$H$611,4,FALSE)</f>
        <v>0.65</v>
      </c>
      <c r="L569" s="8">
        <f>VLOOKUP(A569,[1]Datasheet_2!$A$2:$H$611,5,FALSE)</f>
        <v>0.19400000000000001</v>
      </c>
      <c r="M569" s="8">
        <f>VLOOKUP(A569,[1]Datasheet_2!$A$2:$H$611,6,FALSE)</f>
        <v>16</v>
      </c>
      <c r="N569" s="8">
        <f>VLOOKUP(A569,[1]Datasheet_2!$A$2:$H$611,7,FALSE)</f>
        <v>103</v>
      </c>
      <c r="O569" s="9">
        <f>VLOOKUP(A569,[1]Datasheet_2!$A$2:$H$611,8,FALSE)</f>
        <v>119</v>
      </c>
    </row>
    <row r="570" spans="1:15" x14ac:dyDescent="0.3">
      <c r="A570" s="4">
        <v>569</v>
      </c>
      <c r="B570" s="5">
        <v>40568</v>
      </c>
      <c r="C570" s="4">
        <v>1</v>
      </c>
      <c r="D570" s="4">
        <v>21</v>
      </c>
      <c r="E570" s="4" t="b">
        <v>0</v>
      </c>
      <c r="F570" s="4">
        <v>2</v>
      </c>
      <c r="G570" s="4">
        <v>1</v>
      </c>
      <c r="H570" s="4">
        <v>0.24</v>
      </c>
      <c r="I570">
        <f>VLOOKUP(A570,[1]Datasheet_2!$A$2:$H$611,2,FALSE)</f>
        <v>568</v>
      </c>
      <c r="J570">
        <f>VLOOKUP(A570,[1]Datasheet_2!$A$2:$H$611,3,FALSE)</f>
        <v>0.2273</v>
      </c>
      <c r="K570" s="9">
        <f>VLOOKUP(A570,[1]Datasheet_2!$A$2:$H$611,4,FALSE)</f>
        <v>0.65</v>
      </c>
      <c r="L570" s="8">
        <f>VLOOKUP(A570,[1]Datasheet_2!$A$2:$H$611,5,FALSE)</f>
        <v>0.19400000000000001</v>
      </c>
      <c r="M570" s="8">
        <f>VLOOKUP(A570,[1]Datasheet_2!$A$2:$H$611,6,FALSE)</f>
        <v>5</v>
      </c>
      <c r="N570" s="8">
        <f>VLOOKUP(A570,[1]Datasheet_2!$A$2:$H$611,7,FALSE)</f>
        <v>40</v>
      </c>
      <c r="O570" s="9">
        <f>VLOOKUP(A570,[1]Datasheet_2!$A$2:$H$611,8,FALSE)</f>
        <v>45</v>
      </c>
    </row>
    <row r="571" spans="1:15" x14ac:dyDescent="0.3">
      <c r="A571" s="4">
        <v>570</v>
      </c>
      <c r="B571" s="5">
        <v>40568</v>
      </c>
      <c r="C571" s="4">
        <v>1</v>
      </c>
      <c r="D571" s="4">
        <v>22</v>
      </c>
      <c r="E571" s="4" t="b">
        <v>0</v>
      </c>
      <c r="F571" s="4">
        <v>2</v>
      </c>
      <c r="G571" s="4">
        <v>1</v>
      </c>
      <c r="H571" s="4">
        <v>0.22</v>
      </c>
      <c r="I571">
        <f>VLOOKUP(A571,[1]Datasheet_2!$A$2:$H$611,2,FALSE)</f>
        <v>569</v>
      </c>
      <c r="J571">
        <f>VLOOKUP(A571,[1]Datasheet_2!$A$2:$H$611,3,FALSE)</f>
        <v>0.2273</v>
      </c>
      <c r="K571" s="9">
        <f>VLOOKUP(A571,[1]Datasheet_2!$A$2:$H$611,4,FALSE)</f>
        <v>0.64</v>
      </c>
      <c r="L571" s="8">
        <f>VLOOKUP(A571,[1]Datasheet_2!$A$2:$H$611,5,FALSE)</f>
        <v>0.16420000000000001</v>
      </c>
      <c r="M571" s="8">
        <f>VLOOKUP(A571,[1]Datasheet_2!$A$2:$H$611,6,FALSE)</f>
        <v>4</v>
      </c>
      <c r="N571" s="8">
        <f>VLOOKUP(A571,[1]Datasheet_2!$A$2:$H$611,7,FALSE)</f>
        <v>49</v>
      </c>
      <c r="O571" s="9">
        <f>VLOOKUP(A571,[1]Datasheet_2!$A$2:$H$611,8,FALSE)</f>
        <v>53</v>
      </c>
    </row>
    <row r="572" spans="1:15" x14ac:dyDescent="0.3">
      <c r="A572" s="4">
        <v>571</v>
      </c>
      <c r="B572" s="5">
        <v>40568</v>
      </c>
      <c r="C572" s="4">
        <v>1</v>
      </c>
      <c r="D572" s="4">
        <v>23</v>
      </c>
      <c r="E572" s="4" t="b">
        <v>0</v>
      </c>
      <c r="F572" s="4">
        <v>2</v>
      </c>
      <c r="G572" s="4">
        <v>2</v>
      </c>
      <c r="H572" s="4">
        <v>0.22</v>
      </c>
      <c r="I572">
        <f>VLOOKUP(A572,[1]Datasheet_2!$A$2:$H$611,2,FALSE)</f>
        <v>570</v>
      </c>
      <c r="J572">
        <f>VLOOKUP(A572,[1]Datasheet_2!$A$2:$H$611,3,FALSE)</f>
        <v>0.2273</v>
      </c>
      <c r="K572" s="9">
        <f>VLOOKUP(A572,[1]Datasheet_2!$A$2:$H$611,4,FALSE)</f>
        <v>0.64</v>
      </c>
      <c r="L572" s="8">
        <f>VLOOKUP(A572,[1]Datasheet_2!$A$2:$H$611,5,FALSE)</f>
        <v>0.16420000000000001</v>
      </c>
      <c r="M572" s="8">
        <f>VLOOKUP(A572,[1]Datasheet_2!$A$2:$H$611,6,FALSE)</f>
        <v>3</v>
      </c>
      <c r="N572" s="8">
        <f>VLOOKUP(A572,[1]Datasheet_2!$A$2:$H$611,7,FALSE)</f>
        <v>37</v>
      </c>
      <c r="O572" s="9">
        <f>VLOOKUP(A572,[1]Datasheet_2!$A$2:$H$611,8,FALSE)</f>
        <v>40</v>
      </c>
    </row>
    <row r="573" spans="1:15" x14ac:dyDescent="0.3">
      <c r="A573" s="4">
        <v>572</v>
      </c>
      <c r="B573" s="5">
        <v>40569</v>
      </c>
      <c r="C573" s="4">
        <v>1</v>
      </c>
      <c r="D573" s="4">
        <v>0</v>
      </c>
      <c r="E573" s="4" t="b">
        <v>0</v>
      </c>
      <c r="F573" s="4">
        <v>3</v>
      </c>
      <c r="G573" s="4">
        <v>2</v>
      </c>
      <c r="H573" s="4">
        <v>0.22</v>
      </c>
      <c r="I573">
        <f>VLOOKUP(A573,[1]Datasheet_2!$A$2:$H$611,2,FALSE)</f>
        <v>571</v>
      </c>
      <c r="J573">
        <f>VLOOKUP(A573,[1]Datasheet_2!$A$2:$H$611,3,FALSE)</f>
        <v>0.2273</v>
      </c>
      <c r="K573" s="9">
        <f>VLOOKUP(A573,[1]Datasheet_2!$A$2:$H$611,4,FALSE)</f>
        <v>0.69</v>
      </c>
      <c r="L573" s="8">
        <f>VLOOKUP(A573,[1]Datasheet_2!$A$2:$H$611,5,FALSE)</f>
        <v>0.1343</v>
      </c>
      <c r="M573" s="8">
        <f>VLOOKUP(A573,[1]Datasheet_2!$A$2:$H$611,6,FALSE)</f>
        <v>3</v>
      </c>
      <c r="N573" s="8">
        <f>VLOOKUP(A573,[1]Datasheet_2!$A$2:$H$611,7,FALSE)</f>
        <v>14</v>
      </c>
      <c r="O573" s="9">
        <f>VLOOKUP(A573,[1]Datasheet_2!$A$2:$H$611,8,FALSE)</f>
        <v>17</v>
      </c>
    </row>
    <row r="574" spans="1:15" x14ac:dyDescent="0.3">
      <c r="A574" s="4">
        <v>573</v>
      </c>
      <c r="B574" s="5">
        <v>40569</v>
      </c>
      <c r="C574" s="4">
        <v>1</v>
      </c>
      <c r="D574" s="4">
        <v>1</v>
      </c>
      <c r="E574" s="4" t="b">
        <v>0</v>
      </c>
      <c r="F574" s="4">
        <v>3</v>
      </c>
      <c r="G574" s="4">
        <v>2</v>
      </c>
      <c r="H574" s="4">
        <v>0.24</v>
      </c>
      <c r="I574">
        <f>VLOOKUP(A574,[1]Datasheet_2!$A$2:$H$611,2,FALSE)</f>
        <v>572</v>
      </c>
      <c r="J574">
        <f>VLOOKUP(A574,[1]Datasheet_2!$A$2:$H$611,3,FALSE)</f>
        <v>0.2424</v>
      </c>
      <c r="K574" s="9">
        <f>VLOOKUP(A574,[1]Datasheet_2!$A$2:$H$611,4,FALSE)</f>
        <v>0.65</v>
      </c>
      <c r="L574" s="8">
        <f>VLOOKUP(A574,[1]Datasheet_2!$A$2:$H$611,5,FALSE)</f>
        <v>0.1343</v>
      </c>
      <c r="M574" s="8">
        <f>VLOOKUP(A574,[1]Datasheet_2!$A$2:$H$611,6,FALSE)</f>
        <v>0</v>
      </c>
      <c r="N574" s="8">
        <f>VLOOKUP(A574,[1]Datasheet_2!$A$2:$H$611,7,FALSE)</f>
        <v>5</v>
      </c>
      <c r="O574" s="9">
        <f>VLOOKUP(A574,[1]Datasheet_2!$A$2:$H$611,8,FALSE)</f>
        <v>5</v>
      </c>
    </row>
    <row r="575" spans="1:15" x14ac:dyDescent="0.3">
      <c r="A575" s="4">
        <v>574</v>
      </c>
      <c r="B575" s="5">
        <v>40569</v>
      </c>
      <c r="C575" s="4">
        <v>1</v>
      </c>
      <c r="D575" s="4">
        <v>2</v>
      </c>
      <c r="E575" s="4" t="b">
        <v>0</v>
      </c>
      <c r="F575" s="4">
        <v>3</v>
      </c>
      <c r="G575" s="4">
        <v>3</v>
      </c>
      <c r="H575" s="4">
        <v>0.22</v>
      </c>
      <c r="I575">
        <f>VLOOKUP(A575,[1]Datasheet_2!$A$2:$H$611,2,FALSE)</f>
        <v>573</v>
      </c>
      <c r="J575">
        <f>VLOOKUP(A575,[1]Datasheet_2!$A$2:$H$611,3,FALSE)</f>
        <v>0.2273</v>
      </c>
      <c r="K575" s="9">
        <f>VLOOKUP(A575,[1]Datasheet_2!$A$2:$H$611,4,FALSE)</f>
        <v>0.69</v>
      </c>
      <c r="L575" s="8">
        <f>VLOOKUP(A575,[1]Datasheet_2!$A$2:$H$611,5,FALSE)</f>
        <v>0.19400000000000001</v>
      </c>
      <c r="M575" s="8">
        <f>VLOOKUP(A575,[1]Datasheet_2!$A$2:$H$611,6,FALSE)</f>
        <v>3</v>
      </c>
      <c r="N575" s="8">
        <f>VLOOKUP(A575,[1]Datasheet_2!$A$2:$H$611,7,FALSE)</f>
        <v>7</v>
      </c>
      <c r="O575" s="9">
        <f>VLOOKUP(A575,[1]Datasheet_2!$A$2:$H$611,8,FALSE)</f>
        <v>10</v>
      </c>
    </row>
    <row r="576" spans="1:15" x14ac:dyDescent="0.3">
      <c r="A576" s="4">
        <v>575</v>
      </c>
      <c r="B576" s="5">
        <v>40569</v>
      </c>
      <c r="C576" s="4">
        <v>1</v>
      </c>
      <c r="D576" s="4">
        <v>5</v>
      </c>
      <c r="E576" s="4" t="b">
        <v>0</v>
      </c>
      <c r="F576" s="4">
        <v>3</v>
      </c>
      <c r="G576" s="4">
        <v>3</v>
      </c>
      <c r="H576" s="4">
        <v>0.2</v>
      </c>
      <c r="I576">
        <f>VLOOKUP(A576,[1]Datasheet_2!$A$2:$H$611,2,FALSE)</f>
        <v>574</v>
      </c>
      <c r="J576">
        <f>VLOOKUP(A576,[1]Datasheet_2!$A$2:$H$611,3,FALSE)</f>
        <v>0.18179999999999999</v>
      </c>
      <c r="K576" s="9">
        <f>VLOOKUP(A576,[1]Datasheet_2!$A$2:$H$611,4,FALSE)</f>
        <v>0.86</v>
      </c>
      <c r="L576" s="8">
        <f>VLOOKUP(A576,[1]Datasheet_2!$A$2:$H$611,5,FALSE)</f>
        <v>0.28360000000000002</v>
      </c>
      <c r="M576" s="8">
        <f>VLOOKUP(A576,[1]Datasheet_2!$A$2:$H$611,6,FALSE)</f>
        <v>0</v>
      </c>
      <c r="N576" s="8">
        <f>VLOOKUP(A576,[1]Datasheet_2!$A$2:$H$611,7,FALSE)</f>
        <v>1</v>
      </c>
      <c r="O576" s="9">
        <f>VLOOKUP(A576,[1]Datasheet_2!$A$2:$H$611,8,FALSE)</f>
        <v>1</v>
      </c>
    </row>
    <row r="577" spans="1:15" x14ac:dyDescent="0.3">
      <c r="A577" s="4">
        <v>576</v>
      </c>
      <c r="B577" s="5">
        <v>40569</v>
      </c>
      <c r="C577" s="4">
        <v>1</v>
      </c>
      <c r="D577" s="4">
        <v>6</v>
      </c>
      <c r="E577" s="4" t="b">
        <v>0</v>
      </c>
      <c r="F577" s="4">
        <v>3</v>
      </c>
      <c r="G577" s="4">
        <v>3</v>
      </c>
      <c r="H577" s="4">
        <v>0.2</v>
      </c>
      <c r="I577">
        <f>VLOOKUP(A577,[1]Datasheet_2!$A$2:$H$611,2,FALSE)</f>
        <v>575</v>
      </c>
      <c r="J577">
        <f>VLOOKUP(A577,[1]Datasheet_2!$A$2:$H$611,3,FALSE)</f>
        <v>0.18179999999999999</v>
      </c>
      <c r="K577" s="9">
        <f>VLOOKUP(A577,[1]Datasheet_2!$A$2:$H$611,4,FALSE)</f>
        <v>0.86</v>
      </c>
      <c r="L577" s="8">
        <f>VLOOKUP(A577,[1]Datasheet_2!$A$2:$H$611,5,FALSE)</f>
        <v>0.28360000000000002</v>
      </c>
      <c r="M577" s="8">
        <f>VLOOKUP(A577,[1]Datasheet_2!$A$2:$H$611,6,FALSE)</f>
        <v>0</v>
      </c>
      <c r="N577" s="8">
        <f>VLOOKUP(A577,[1]Datasheet_2!$A$2:$H$611,7,FALSE)</f>
        <v>8</v>
      </c>
      <c r="O577" s="9">
        <f>VLOOKUP(A577,[1]Datasheet_2!$A$2:$H$611,8,FALSE)</f>
        <v>8</v>
      </c>
    </row>
    <row r="578" spans="1:15" x14ac:dyDescent="0.3">
      <c r="A578" s="4">
        <v>577</v>
      </c>
      <c r="B578" s="5">
        <v>40569</v>
      </c>
      <c r="C578" s="4">
        <v>1</v>
      </c>
      <c r="D578" s="4">
        <v>7</v>
      </c>
      <c r="E578" s="4" t="b">
        <v>0</v>
      </c>
      <c r="F578" s="4">
        <v>3</v>
      </c>
      <c r="G578" s="4">
        <v>3</v>
      </c>
      <c r="H578" s="4">
        <v>0.22</v>
      </c>
      <c r="I578">
        <f>VLOOKUP(A578,[1]Datasheet_2!$A$2:$H$611,2,FALSE)</f>
        <v>576</v>
      </c>
      <c r="J578">
        <f>VLOOKUP(A578,[1]Datasheet_2!$A$2:$H$611,3,FALSE)</f>
        <v>0.21210000000000001</v>
      </c>
      <c r="K578" s="9">
        <f>VLOOKUP(A578,[1]Datasheet_2!$A$2:$H$611,4,FALSE)</f>
        <v>0.87</v>
      </c>
      <c r="L578" s="8">
        <f>VLOOKUP(A578,[1]Datasheet_2!$A$2:$H$611,5,FALSE)</f>
        <v>0.29849999999999999</v>
      </c>
      <c r="M578" s="8">
        <f>VLOOKUP(A578,[1]Datasheet_2!$A$2:$H$611,6,FALSE)</f>
        <v>1</v>
      </c>
      <c r="N578" s="8">
        <f>VLOOKUP(A578,[1]Datasheet_2!$A$2:$H$611,7,FALSE)</f>
        <v>29</v>
      </c>
      <c r="O578" s="9">
        <f>VLOOKUP(A578,[1]Datasheet_2!$A$2:$H$611,8,FALSE)</f>
        <v>30</v>
      </c>
    </row>
    <row r="579" spans="1:15" x14ac:dyDescent="0.3">
      <c r="A579" s="4">
        <v>578</v>
      </c>
      <c r="B579" s="5">
        <v>40569</v>
      </c>
      <c r="C579" s="4">
        <v>1</v>
      </c>
      <c r="D579" s="4">
        <v>8</v>
      </c>
      <c r="E579" s="4" t="b">
        <v>0</v>
      </c>
      <c r="F579" s="4">
        <v>3</v>
      </c>
      <c r="G579" s="4">
        <v>3</v>
      </c>
      <c r="H579" s="4">
        <v>0.22</v>
      </c>
      <c r="I579">
        <f>VLOOKUP(A579,[1]Datasheet_2!$A$2:$H$611,2,FALSE)</f>
        <v>577</v>
      </c>
      <c r="J579">
        <f>VLOOKUP(A579,[1]Datasheet_2!$A$2:$H$611,3,FALSE)</f>
        <v>0.21210000000000001</v>
      </c>
      <c r="K579" s="9">
        <f>VLOOKUP(A579,[1]Datasheet_2!$A$2:$H$611,4,FALSE)</f>
        <v>0.87</v>
      </c>
      <c r="L579" s="8">
        <f>VLOOKUP(A579,[1]Datasheet_2!$A$2:$H$611,5,FALSE)</f>
        <v>0.29849999999999999</v>
      </c>
      <c r="M579" s="8">
        <f>VLOOKUP(A579,[1]Datasheet_2!$A$2:$H$611,6,FALSE)</f>
        <v>3</v>
      </c>
      <c r="N579" s="8">
        <f>VLOOKUP(A579,[1]Datasheet_2!$A$2:$H$611,7,FALSE)</f>
        <v>69</v>
      </c>
      <c r="O579" s="9">
        <f>VLOOKUP(A579,[1]Datasheet_2!$A$2:$H$611,8,FALSE)</f>
        <v>72</v>
      </c>
    </row>
    <row r="580" spans="1:15" x14ac:dyDescent="0.3">
      <c r="A580" s="4">
        <v>579</v>
      </c>
      <c r="B580" s="5">
        <v>40569</v>
      </c>
      <c r="C580" s="4">
        <v>1</v>
      </c>
      <c r="D580" s="4">
        <v>9</v>
      </c>
      <c r="E580" s="4" t="b">
        <v>0</v>
      </c>
      <c r="F580" s="4">
        <v>3</v>
      </c>
      <c r="G580" s="4">
        <v>3</v>
      </c>
      <c r="H580" s="4">
        <v>0.22</v>
      </c>
      <c r="I580">
        <f>VLOOKUP(A580,[1]Datasheet_2!$A$2:$H$611,2,FALSE)</f>
        <v>578</v>
      </c>
      <c r="J580">
        <f>VLOOKUP(A580,[1]Datasheet_2!$A$2:$H$611,3,FALSE)</f>
        <v>0.21210000000000001</v>
      </c>
      <c r="K580" s="9">
        <f>VLOOKUP(A580,[1]Datasheet_2!$A$2:$H$611,4,FALSE)</f>
        <v>0.87</v>
      </c>
      <c r="L580" s="8">
        <f>VLOOKUP(A580,[1]Datasheet_2!$A$2:$H$611,5,FALSE)</f>
        <v>0.29849999999999999</v>
      </c>
      <c r="M580" s="8">
        <f>VLOOKUP(A580,[1]Datasheet_2!$A$2:$H$611,6,FALSE)</f>
        <v>3</v>
      </c>
      <c r="N580" s="8">
        <f>VLOOKUP(A580,[1]Datasheet_2!$A$2:$H$611,7,FALSE)</f>
        <v>55</v>
      </c>
      <c r="O580" s="9">
        <f>VLOOKUP(A580,[1]Datasheet_2!$A$2:$H$611,8,FALSE)</f>
        <v>58</v>
      </c>
    </row>
    <row r="581" spans="1:15" x14ac:dyDescent="0.3">
      <c r="A581" s="4">
        <v>580</v>
      </c>
      <c r="B581" s="5">
        <v>40569</v>
      </c>
      <c r="C581" s="4">
        <v>1</v>
      </c>
      <c r="D581" s="4">
        <v>10</v>
      </c>
      <c r="E581" s="4" t="b">
        <v>0</v>
      </c>
      <c r="F581" s="4">
        <v>3</v>
      </c>
      <c r="G581" s="4">
        <v>3</v>
      </c>
      <c r="H581" s="4">
        <v>0.22</v>
      </c>
      <c r="I581">
        <f>VLOOKUP(A581,[1]Datasheet_2!$A$2:$H$611,2,FALSE)</f>
        <v>579</v>
      </c>
      <c r="J581">
        <f>VLOOKUP(A581,[1]Datasheet_2!$A$2:$H$611,3,FALSE)</f>
        <v>0.21210000000000001</v>
      </c>
      <c r="K581" s="9">
        <f>VLOOKUP(A581,[1]Datasheet_2!$A$2:$H$611,4,FALSE)</f>
        <v>0.93</v>
      </c>
      <c r="L581" s="8">
        <f>VLOOKUP(A581,[1]Datasheet_2!$A$2:$H$611,5,FALSE)</f>
        <v>0.28360000000000002</v>
      </c>
      <c r="M581" s="8">
        <f>VLOOKUP(A581,[1]Datasheet_2!$A$2:$H$611,6,FALSE)</f>
        <v>2</v>
      </c>
      <c r="N581" s="8">
        <f>VLOOKUP(A581,[1]Datasheet_2!$A$2:$H$611,7,FALSE)</f>
        <v>26</v>
      </c>
      <c r="O581" s="9">
        <f>VLOOKUP(A581,[1]Datasheet_2!$A$2:$H$611,8,FALSE)</f>
        <v>28</v>
      </c>
    </row>
    <row r="582" spans="1:15" x14ac:dyDescent="0.3">
      <c r="A582" s="4">
        <v>581</v>
      </c>
      <c r="B582" s="5">
        <v>40569</v>
      </c>
      <c r="C582" s="4">
        <v>1</v>
      </c>
      <c r="D582" s="4">
        <v>11</v>
      </c>
      <c r="E582" s="4" t="b">
        <v>0</v>
      </c>
      <c r="F582" s="4">
        <v>3</v>
      </c>
      <c r="G582" s="4">
        <v>3</v>
      </c>
      <c r="H582" s="4">
        <v>0.22</v>
      </c>
      <c r="I582">
        <f>VLOOKUP(A582,[1]Datasheet_2!$A$2:$H$611,2,FALSE)</f>
        <v>580</v>
      </c>
      <c r="J582">
        <f>VLOOKUP(A582,[1]Datasheet_2!$A$2:$H$611,3,FALSE)</f>
        <v>0.19700000000000001</v>
      </c>
      <c r="K582" s="9">
        <f>VLOOKUP(A582,[1]Datasheet_2!$A$2:$H$611,4,FALSE)</f>
        <v>0.93</v>
      </c>
      <c r="L582" s="8">
        <f>VLOOKUP(A582,[1]Datasheet_2!$A$2:$H$611,5,FALSE)</f>
        <v>0.32840000000000003</v>
      </c>
      <c r="M582" s="8">
        <f>VLOOKUP(A582,[1]Datasheet_2!$A$2:$H$611,6,FALSE)</f>
        <v>6</v>
      </c>
      <c r="N582" s="8">
        <f>VLOOKUP(A582,[1]Datasheet_2!$A$2:$H$611,7,FALSE)</f>
        <v>35</v>
      </c>
      <c r="O582" s="9">
        <f>VLOOKUP(A582,[1]Datasheet_2!$A$2:$H$611,8,FALSE)</f>
        <v>41</v>
      </c>
    </row>
    <row r="583" spans="1:15" x14ac:dyDescent="0.3">
      <c r="A583" s="4">
        <v>582</v>
      </c>
      <c r="B583" s="5">
        <v>40569</v>
      </c>
      <c r="C583" s="4">
        <v>1</v>
      </c>
      <c r="D583" s="4">
        <v>12</v>
      </c>
      <c r="E583" s="4" t="b">
        <v>0</v>
      </c>
      <c r="F583" s="4">
        <v>3</v>
      </c>
      <c r="G583" s="4">
        <v>3</v>
      </c>
      <c r="H583" s="4">
        <v>0.22</v>
      </c>
      <c r="I583">
        <f>VLOOKUP(A583,[1]Datasheet_2!$A$2:$H$611,2,FALSE)</f>
        <v>581</v>
      </c>
      <c r="J583">
        <f>VLOOKUP(A583,[1]Datasheet_2!$A$2:$H$611,3,FALSE)</f>
        <v>0.19700000000000001</v>
      </c>
      <c r="K583" s="9">
        <f>VLOOKUP(A583,[1]Datasheet_2!$A$2:$H$611,4,FALSE)</f>
        <v>0.93</v>
      </c>
      <c r="L583" s="8">
        <f>VLOOKUP(A583,[1]Datasheet_2!$A$2:$H$611,5,FALSE)</f>
        <v>0.32840000000000003</v>
      </c>
      <c r="M583" s="8">
        <f>VLOOKUP(A583,[1]Datasheet_2!$A$2:$H$611,6,FALSE)</f>
        <v>7</v>
      </c>
      <c r="N583" s="8">
        <f>VLOOKUP(A583,[1]Datasheet_2!$A$2:$H$611,7,FALSE)</f>
        <v>41</v>
      </c>
      <c r="O583" s="9">
        <f>VLOOKUP(A583,[1]Datasheet_2!$A$2:$H$611,8,FALSE)</f>
        <v>48</v>
      </c>
    </row>
    <row r="584" spans="1:15" x14ac:dyDescent="0.3">
      <c r="A584" s="4">
        <v>583</v>
      </c>
      <c r="B584" s="5">
        <v>40569</v>
      </c>
      <c r="C584" s="4">
        <v>1</v>
      </c>
      <c r="D584" s="4">
        <v>13</v>
      </c>
      <c r="E584" s="4" t="b">
        <v>0</v>
      </c>
      <c r="F584" s="4">
        <v>3</v>
      </c>
      <c r="G584" s="4">
        <v>3</v>
      </c>
      <c r="H584" s="4">
        <v>0.22</v>
      </c>
      <c r="I584">
        <f>VLOOKUP(A584,[1]Datasheet_2!$A$2:$H$611,2,FALSE)</f>
        <v>582</v>
      </c>
      <c r="J584">
        <f>VLOOKUP(A584,[1]Datasheet_2!$A$2:$H$611,3,FALSE)</f>
        <v>0.19700000000000001</v>
      </c>
      <c r="K584" s="9">
        <f>VLOOKUP(A584,[1]Datasheet_2!$A$2:$H$611,4,FALSE)</f>
        <v>0.93</v>
      </c>
      <c r="L584" s="8">
        <f>VLOOKUP(A584,[1]Datasheet_2!$A$2:$H$611,5,FALSE)</f>
        <v>0.32840000000000003</v>
      </c>
      <c r="M584" s="8">
        <f>VLOOKUP(A584,[1]Datasheet_2!$A$2:$H$611,6,FALSE)</f>
        <v>4</v>
      </c>
      <c r="N584" s="8">
        <f>VLOOKUP(A584,[1]Datasheet_2!$A$2:$H$611,7,FALSE)</f>
        <v>43</v>
      </c>
      <c r="O584" s="9">
        <f>VLOOKUP(A584,[1]Datasheet_2!$A$2:$H$611,8,FALSE)</f>
        <v>47</v>
      </c>
    </row>
    <row r="585" spans="1:15" x14ac:dyDescent="0.3">
      <c r="A585" s="4">
        <v>584</v>
      </c>
      <c r="B585" s="5">
        <v>40569</v>
      </c>
      <c r="C585" s="4">
        <v>1</v>
      </c>
      <c r="D585" s="4">
        <v>14</v>
      </c>
      <c r="E585" s="4" t="b">
        <v>0</v>
      </c>
      <c r="F585" s="4">
        <v>3</v>
      </c>
      <c r="G585" s="4">
        <v>3</v>
      </c>
      <c r="H585" s="4">
        <v>0.22</v>
      </c>
      <c r="I585">
        <f>VLOOKUP(A585,[1]Datasheet_2!$A$2:$H$611,2,FALSE)</f>
        <v>583</v>
      </c>
      <c r="J585">
        <f>VLOOKUP(A585,[1]Datasheet_2!$A$2:$H$611,3,FALSE)</f>
        <v>0.19700000000000001</v>
      </c>
      <c r="K585" s="9">
        <f>VLOOKUP(A585,[1]Datasheet_2!$A$2:$H$611,4,FALSE)</f>
        <v>0.93</v>
      </c>
      <c r="L585" s="8">
        <f>VLOOKUP(A585,[1]Datasheet_2!$A$2:$H$611,5,FALSE)</f>
        <v>0.35820000000000002</v>
      </c>
      <c r="M585" s="8">
        <f>VLOOKUP(A585,[1]Datasheet_2!$A$2:$H$611,6,FALSE)</f>
        <v>0</v>
      </c>
      <c r="N585" s="8">
        <f>VLOOKUP(A585,[1]Datasheet_2!$A$2:$H$611,7,FALSE)</f>
        <v>36</v>
      </c>
      <c r="O585" s="9">
        <f>VLOOKUP(A585,[1]Datasheet_2!$A$2:$H$611,8,FALSE)</f>
        <v>36</v>
      </c>
    </row>
    <row r="586" spans="1:15" x14ac:dyDescent="0.3">
      <c r="A586" s="4">
        <v>585</v>
      </c>
      <c r="B586" s="5">
        <v>40569</v>
      </c>
      <c r="C586" s="4">
        <v>1</v>
      </c>
      <c r="D586" s="4">
        <v>15</v>
      </c>
      <c r="E586" s="4" t="b">
        <v>0</v>
      </c>
      <c r="F586" s="4">
        <v>3</v>
      </c>
      <c r="G586" s="4">
        <v>3</v>
      </c>
      <c r="H586" s="4">
        <v>0.22</v>
      </c>
      <c r="I586">
        <f>VLOOKUP(A586,[1]Datasheet_2!$A$2:$H$611,2,FALSE)</f>
        <v>584</v>
      </c>
      <c r="J586">
        <f>VLOOKUP(A586,[1]Datasheet_2!$A$2:$H$611,3,FALSE)</f>
        <v>0.18179999999999999</v>
      </c>
      <c r="K586" s="9">
        <f>VLOOKUP(A586,[1]Datasheet_2!$A$2:$H$611,4,FALSE)</f>
        <v>0.93</v>
      </c>
      <c r="L586" s="8">
        <f>VLOOKUP(A586,[1]Datasheet_2!$A$2:$H$611,5,FALSE)</f>
        <v>0.4627</v>
      </c>
      <c r="M586" s="8">
        <f>VLOOKUP(A586,[1]Datasheet_2!$A$2:$H$611,6,FALSE)</f>
        <v>1</v>
      </c>
      <c r="N586" s="8">
        <f>VLOOKUP(A586,[1]Datasheet_2!$A$2:$H$611,7,FALSE)</f>
        <v>42</v>
      </c>
      <c r="O586" s="9">
        <f>VLOOKUP(A586,[1]Datasheet_2!$A$2:$H$611,8,FALSE)</f>
        <v>43</v>
      </c>
    </row>
    <row r="587" spans="1:15" x14ac:dyDescent="0.3">
      <c r="A587" s="4">
        <v>586</v>
      </c>
      <c r="B587" s="5">
        <v>40569</v>
      </c>
      <c r="C587" s="4">
        <v>1</v>
      </c>
      <c r="D587" s="4">
        <v>16</v>
      </c>
      <c r="E587" s="4" t="b">
        <v>0</v>
      </c>
      <c r="F587" s="4">
        <v>3</v>
      </c>
      <c r="G587" s="4">
        <v>4</v>
      </c>
      <c r="H587" s="4">
        <v>0.22</v>
      </c>
      <c r="I587">
        <f>VLOOKUP(A587,[1]Datasheet_2!$A$2:$H$611,2,FALSE)</f>
        <v>585</v>
      </c>
      <c r="J587">
        <f>VLOOKUP(A587,[1]Datasheet_2!$A$2:$H$611,3,FALSE)</f>
        <v>0.19700000000000001</v>
      </c>
      <c r="K587" s="9">
        <f>VLOOKUP(A587,[1]Datasheet_2!$A$2:$H$611,4,FALSE)</f>
        <v>0.93</v>
      </c>
      <c r="L587" s="8">
        <f>VLOOKUP(A587,[1]Datasheet_2!$A$2:$H$611,5,FALSE)</f>
        <v>0.32840000000000003</v>
      </c>
      <c r="M587" s="8">
        <f>VLOOKUP(A587,[1]Datasheet_2!$A$2:$H$611,6,FALSE)</f>
        <v>1</v>
      </c>
      <c r="N587" s="8">
        <f>VLOOKUP(A587,[1]Datasheet_2!$A$2:$H$611,7,FALSE)</f>
        <v>35</v>
      </c>
      <c r="O587" s="9">
        <f>VLOOKUP(A587,[1]Datasheet_2!$A$2:$H$611,8,FALSE)</f>
        <v>36</v>
      </c>
    </row>
    <row r="588" spans="1:15" x14ac:dyDescent="0.3">
      <c r="A588" s="4">
        <v>587</v>
      </c>
      <c r="B588" s="5">
        <v>40569</v>
      </c>
      <c r="C588" s="4">
        <v>1</v>
      </c>
      <c r="D588" s="4">
        <v>17</v>
      </c>
      <c r="E588" s="4" t="b">
        <v>0</v>
      </c>
      <c r="F588" s="4">
        <v>3</v>
      </c>
      <c r="G588" s="4">
        <v>3</v>
      </c>
      <c r="H588" s="4">
        <v>0.2</v>
      </c>
      <c r="I588">
        <f>VLOOKUP(A588,[1]Datasheet_2!$A$2:$H$611,2,FALSE)</f>
        <v>586</v>
      </c>
      <c r="J588">
        <f>VLOOKUP(A588,[1]Datasheet_2!$A$2:$H$611,3,FALSE)</f>
        <v>0.18179999999999999</v>
      </c>
      <c r="K588" s="9">
        <f>VLOOKUP(A588,[1]Datasheet_2!$A$2:$H$611,4,FALSE)</f>
        <v>0.93</v>
      </c>
      <c r="L588" s="8">
        <f>VLOOKUP(A588,[1]Datasheet_2!$A$2:$H$611,5,FALSE)</f>
        <v>0.35820000000000002</v>
      </c>
      <c r="M588" s="8">
        <f>VLOOKUP(A588,[1]Datasheet_2!$A$2:$H$611,6,FALSE)</f>
        <v>0</v>
      </c>
      <c r="N588" s="8">
        <f>VLOOKUP(A588,[1]Datasheet_2!$A$2:$H$611,7,FALSE)</f>
        <v>26</v>
      </c>
      <c r="O588" s="9">
        <f>VLOOKUP(A588,[1]Datasheet_2!$A$2:$H$611,8,FALSE)</f>
        <v>26</v>
      </c>
    </row>
    <row r="589" spans="1:15" x14ac:dyDescent="0.3">
      <c r="A589" s="4">
        <v>588</v>
      </c>
      <c r="B589" s="5">
        <v>40570</v>
      </c>
      <c r="C589" s="4">
        <v>1</v>
      </c>
      <c r="D589" s="4">
        <v>16</v>
      </c>
      <c r="E589" s="4" t="b">
        <v>0</v>
      </c>
      <c r="F589" s="4">
        <v>4</v>
      </c>
      <c r="G589" s="4">
        <v>1</v>
      </c>
      <c r="H589" s="4">
        <v>0.22</v>
      </c>
      <c r="I589">
        <f>VLOOKUP(A589,[1]Datasheet_2!$A$2:$H$611,2,FALSE)</f>
        <v>587</v>
      </c>
      <c r="J589">
        <f>VLOOKUP(A589,[1]Datasheet_2!$A$2:$H$611,3,FALSE)</f>
        <v>0.2273</v>
      </c>
      <c r="K589" s="9">
        <f>VLOOKUP(A589,[1]Datasheet_2!$A$2:$H$611,4,FALSE)</f>
        <v>0.55000000000000004</v>
      </c>
      <c r="L589" s="8">
        <f>VLOOKUP(A589,[1]Datasheet_2!$A$2:$H$611,5,FALSE)</f>
        <v>0.19400000000000001</v>
      </c>
      <c r="M589" s="8">
        <f>VLOOKUP(A589,[1]Datasheet_2!$A$2:$H$611,6,FALSE)</f>
        <v>1</v>
      </c>
      <c r="N589" s="8">
        <f>VLOOKUP(A589,[1]Datasheet_2!$A$2:$H$611,7,FALSE)</f>
        <v>23</v>
      </c>
      <c r="O589" s="9">
        <f>VLOOKUP(A589,[1]Datasheet_2!$A$2:$H$611,8,FALSE)</f>
        <v>24</v>
      </c>
    </row>
    <row r="590" spans="1:15" x14ac:dyDescent="0.3">
      <c r="A590" s="4">
        <v>589</v>
      </c>
      <c r="B590" s="5">
        <v>40570</v>
      </c>
      <c r="C590" s="4">
        <v>1</v>
      </c>
      <c r="D590" s="4">
        <v>17</v>
      </c>
      <c r="E590" s="4" t="b">
        <v>0</v>
      </c>
      <c r="F590" s="4">
        <v>4</v>
      </c>
      <c r="G590" s="4">
        <v>1</v>
      </c>
      <c r="H590" s="4">
        <v>0.22</v>
      </c>
      <c r="I590">
        <f>VLOOKUP(A590,[1]Datasheet_2!$A$2:$H$611,2,FALSE)</f>
        <v>588</v>
      </c>
      <c r="J590">
        <f>VLOOKUP(A590,[1]Datasheet_2!$A$2:$H$611,3,FALSE)</f>
        <v>0.2424</v>
      </c>
      <c r="K590" s="9">
        <f>VLOOKUP(A590,[1]Datasheet_2!$A$2:$H$611,4,FALSE)</f>
        <v>0.55000000000000004</v>
      </c>
      <c r="L590" s="8">
        <f>VLOOKUP(A590,[1]Datasheet_2!$A$2:$H$611,5,FALSE)</f>
        <v>0.1045</v>
      </c>
      <c r="M590" s="8">
        <f>VLOOKUP(A590,[1]Datasheet_2!$A$2:$H$611,6,FALSE)</f>
        <v>2</v>
      </c>
      <c r="N590" s="8">
        <f>VLOOKUP(A590,[1]Datasheet_2!$A$2:$H$611,7,FALSE)</f>
        <v>82</v>
      </c>
      <c r="O590" s="9">
        <f>VLOOKUP(A590,[1]Datasheet_2!$A$2:$H$611,8,FALSE)</f>
        <v>84</v>
      </c>
    </row>
    <row r="591" spans="1:15" x14ac:dyDescent="0.3">
      <c r="A591" s="4">
        <v>590</v>
      </c>
      <c r="B591" s="5">
        <v>40570</v>
      </c>
      <c r="C591" s="4">
        <v>1</v>
      </c>
      <c r="D591" s="4">
        <v>18</v>
      </c>
      <c r="E591" s="4" t="b">
        <v>0</v>
      </c>
      <c r="F591" s="4">
        <v>4</v>
      </c>
      <c r="G591" s="4">
        <v>1</v>
      </c>
      <c r="H591" s="4">
        <v>0.2</v>
      </c>
      <c r="I591">
        <f>VLOOKUP(A591,[1]Datasheet_2!$A$2:$H$611,2,FALSE)</f>
        <v>589</v>
      </c>
      <c r="J591">
        <f>VLOOKUP(A591,[1]Datasheet_2!$A$2:$H$611,3,FALSE)</f>
        <v>0.2273</v>
      </c>
      <c r="K591" s="9">
        <f>VLOOKUP(A591,[1]Datasheet_2!$A$2:$H$611,4,FALSE)</f>
        <v>0.69</v>
      </c>
      <c r="L591" s="8">
        <f>VLOOKUP(A591,[1]Datasheet_2!$A$2:$H$611,5,FALSE)</f>
        <v>8.9599999999999999E-2</v>
      </c>
      <c r="M591" s="8">
        <f>VLOOKUP(A591,[1]Datasheet_2!$A$2:$H$611,6,FALSE)</f>
        <v>3</v>
      </c>
      <c r="N591" s="8">
        <f>VLOOKUP(A591,[1]Datasheet_2!$A$2:$H$611,7,FALSE)</f>
        <v>101</v>
      </c>
      <c r="O591" s="9">
        <f>VLOOKUP(A591,[1]Datasheet_2!$A$2:$H$611,8,FALSE)</f>
        <v>104</v>
      </c>
    </row>
    <row r="592" spans="1:15" x14ac:dyDescent="0.3">
      <c r="A592" s="4">
        <v>591</v>
      </c>
      <c r="B592" s="5">
        <v>40570</v>
      </c>
      <c r="C592" s="4">
        <v>1</v>
      </c>
      <c r="D592" s="4">
        <v>19</v>
      </c>
      <c r="E592" s="4" t="b">
        <v>0</v>
      </c>
      <c r="F592" s="4">
        <v>4</v>
      </c>
      <c r="G592" s="4">
        <v>1</v>
      </c>
      <c r="H592" s="4">
        <v>0.2</v>
      </c>
      <c r="I592">
        <f>VLOOKUP(A592,[1]Datasheet_2!$A$2:$H$611,2,FALSE)</f>
        <v>590</v>
      </c>
      <c r="J592">
        <f>VLOOKUP(A592,[1]Datasheet_2!$A$2:$H$611,3,FALSE)</f>
        <v>0.2273</v>
      </c>
      <c r="K592" s="9">
        <f>VLOOKUP(A592,[1]Datasheet_2!$A$2:$H$611,4,FALSE)</f>
        <v>0.69</v>
      </c>
      <c r="L592" s="8">
        <f>VLOOKUP(A592,[1]Datasheet_2!$A$2:$H$611,5,FALSE)</f>
        <v>8.9599999999999999E-2</v>
      </c>
      <c r="M592" s="8">
        <f>VLOOKUP(A592,[1]Datasheet_2!$A$2:$H$611,6,FALSE)</f>
        <v>3</v>
      </c>
      <c r="N592" s="8">
        <f>VLOOKUP(A592,[1]Datasheet_2!$A$2:$H$611,7,FALSE)</f>
        <v>76</v>
      </c>
      <c r="O592" s="9">
        <f>VLOOKUP(A592,[1]Datasheet_2!$A$2:$H$611,8,FALSE)</f>
        <v>79</v>
      </c>
    </row>
    <row r="593" spans="1:15" x14ac:dyDescent="0.3">
      <c r="A593" s="4">
        <v>592</v>
      </c>
      <c r="B593" s="5">
        <v>40570</v>
      </c>
      <c r="C593" s="4">
        <v>1</v>
      </c>
      <c r="D593" s="4">
        <v>20</v>
      </c>
      <c r="E593" s="4" t="b">
        <v>0</v>
      </c>
      <c r="F593" s="4">
        <v>4</v>
      </c>
      <c r="G593" s="4">
        <v>1</v>
      </c>
      <c r="H593" s="4">
        <v>0.18</v>
      </c>
      <c r="I593">
        <f>VLOOKUP(A593,[1]Datasheet_2!$A$2:$H$611,2,FALSE)</f>
        <v>591</v>
      </c>
      <c r="J593">
        <f>VLOOKUP(A593,[1]Datasheet_2!$A$2:$H$611,3,FALSE)</f>
        <v>0.21210000000000001</v>
      </c>
      <c r="K593" s="9">
        <f>VLOOKUP(A593,[1]Datasheet_2!$A$2:$H$611,4,FALSE)</f>
        <v>0.74</v>
      </c>
      <c r="L593" s="8">
        <f>VLOOKUP(A593,[1]Datasheet_2!$A$2:$H$611,5,FALSE)</f>
        <v>8.9599999999999999E-2</v>
      </c>
      <c r="M593" s="8">
        <f>VLOOKUP(A593,[1]Datasheet_2!$A$2:$H$611,6,FALSE)</f>
        <v>4</v>
      </c>
      <c r="N593" s="8">
        <f>VLOOKUP(A593,[1]Datasheet_2!$A$2:$H$611,7,FALSE)</f>
        <v>55</v>
      </c>
      <c r="O593" s="9">
        <f>VLOOKUP(A593,[1]Datasheet_2!$A$2:$H$611,8,FALSE)</f>
        <v>59</v>
      </c>
    </row>
    <row r="594" spans="1:15" x14ac:dyDescent="0.3">
      <c r="A594" s="4">
        <v>593</v>
      </c>
      <c r="B594" s="5">
        <v>40570</v>
      </c>
      <c r="C594" s="4">
        <v>1</v>
      </c>
      <c r="D594" s="4">
        <v>21</v>
      </c>
      <c r="E594" s="4" t="b">
        <v>0</v>
      </c>
      <c r="F594" s="4">
        <v>4</v>
      </c>
      <c r="G594" s="4">
        <v>1</v>
      </c>
      <c r="H594" s="4">
        <v>0.18</v>
      </c>
      <c r="I594">
        <f>VLOOKUP(A594,[1]Datasheet_2!$A$2:$H$611,2,FALSE)</f>
        <v>592</v>
      </c>
      <c r="J594">
        <f>VLOOKUP(A594,[1]Datasheet_2!$A$2:$H$611,3,FALSE)</f>
        <v>0.21210000000000001</v>
      </c>
      <c r="K594" s="9">
        <f>VLOOKUP(A594,[1]Datasheet_2!$A$2:$H$611,4,FALSE)</f>
        <v>0.74</v>
      </c>
      <c r="L594" s="8">
        <f>VLOOKUP(A594,[1]Datasheet_2!$A$2:$H$611,5,FALSE)</f>
        <v>8.9599999999999999E-2</v>
      </c>
      <c r="M594" s="8">
        <f>VLOOKUP(A594,[1]Datasheet_2!$A$2:$H$611,6,FALSE)</f>
        <v>2</v>
      </c>
      <c r="N594" s="8">
        <f>VLOOKUP(A594,[1]Datasheet_2!$A$2:$H$611,7,FALSE)</f>
        <v>36</v>
      </c>
      <c r="O594" s="9">
        <f>VLOOKUP(A594,[1]Datasheet_2!$A$2:$H$611,8,FALSE)</f>
        <v>38</v>
      </c>
    </row>
    <row r="595" spans="1:15" x14ac:dyDescent="0.3">
      <c r="A595" s="4">
        <v>594</v>
      </c>
      <c r="B595" s="5">
        <v>40570</v>
      </c>
      <c r="C595" s="4">
        <v>1</v>
      </c>
      <c r="D595" s="4">
        <v>22</v>
      </c>
      <c r="E595" s="4" t="b">
        <v>0</v>
      </c>
      <c r="F595" s="4">
        <v>4</v>
      </c>
      <c r="G595" s="4">
        <v>1</v>
      </c>
      <c r="H595" s="4">
        <v>0.18</v>
      </c>
      <c r="I595">
        <f>VLOOKUP(A595,[1]Datasheet_2!$A$2:$H$611,2,FALSE)</f>
        <v>593</v>
      </c>
      <c r="J595">
        <f>VLOOKUP(A595,[1]Datasheet_2!$A$2:$H$611,3,FALSE)</f>
        <v>0.21210000000000001</v>
      </c>
      <c r="K595" s="9">
        <f>VLOOKUP(A595,[1]Datasheet_2!$A$2:$H$611,4,FALSE)</f>
        <v>0.74</v>
      </c>
      <c r="L595" s="8">
        <f>VLOOKUP(A595,[1]Datasheet_2!$A$2:$H$611,5,FALSE)</f>
        <v>8.9599999999999999E-2</v>
      </c>
      <c r="M595" s="8">
        <f>VLOOKUP(A595,[1]Datasheet_2!$A$2:$H$611,6,FALSE)</f>
        <v>0</v>
      </c>
      <c r="N595" s="8">
        <f>VLOOKUP(A595,[1]Datasheet_2!$A$2:$H$611,7,FALSE)</f>
        <v>27</v>
      </c>
      <c r="O595" s="9">
        <f>VLOOKUP(A595,[1]Datasheet_2!$A$2:$H$611,8,FALSE)</f>
        <v>27</v>
      </c>
    </row>
    <row r="596" spans="1:15" x14ac:dyDescent="0.3">
      <c r="A596" s="4">
        <v>595</v>
      </c>
      <c r="B596" s="5">
        <v>40570</v>
      </c>
      <c r="C596" s="4">
        <v>1</v>
      </c>
      <c r="D596" s="4">
        <v>23</v>
      </c>
      <c r="E596" s="4" t="b">
        <v>0</v>
      </c>
      <c r="F596" s="4">
        <v>4</v>
      </c>
      <c r="G596" s="4">
        <v>1</v>
      </c>
      <c r="H596" s="4">
        <v>0.18</v>
      </c>
      <c r="I596">
        <f>VLOOKUP(A596,[1]Datasheet_2!$A$2:$H$611,2,FALSE)</f>
        <v>594</v>
      </c>
      <c r="J596">
        <f>VLOOKUP(A596,[1]Datasheet_2!$A$2:$H$611,3,FALSE)</f>
        <v>0.19700000000000001</v>
      </c>
      <c r="K596" s="9">
        <f>VLOOKUP(A596,[1]Datasheet_2!$A$2:$H$611,4,FALSE)</f>
        <v>0.8</v>
      </c>
      <c r="L596" s="8">
        <f>VLOOKUP(A596,[1]Datasheet_2!$A$2:$H$611,5,FALSE)</f>
        <v>0.16420000000000001</v>
      </c>
      <c r="M596" s="8">
        <f>VLOOKUP(A596,[1]Datasheet_2!$A$2:$H$611,6,FALSE)</f>
        <v>0</v>
      </c>
      <c r="N596" s="8">
        <f>VLOOKUP(A596,[1]Datasheet_2!$A$2:$H$611,7,FALSE)</f>
        <v>16</v>
      </c>
      <c r="O596" s="9">
        <f>VLOOKUP(A596,[1]Datasheet_2!$A$2:$H$611,8,FALSE)</f>
        <v>16</v>
      </c>
    </row>
    <row r="597" spans="1:15" x14ac:dyDescent="0.3">
      <c r="A597" s="4">
        <v>596</v>
      </c>
      <c r="B597" s="5">
        <v>40571</v>
      </c>
      <c r="C597" s="4">
        <v>1</v>
      </c>
      <c r="D597" s="4">
        <v>0</v>
      </c>
      <c r="E597" s="4" t="b">
        <v>0</v>
      </c>
      <c r="F597" s="4">
        <v>5</v>
      </c>
      <c r="G597" s="4">
        <v>2</v>
      </c>
      <c r="H597" s="4">
        <v>0.2</v>
      </c>
      <c r="I597">
        <f>VLOOKUP(A597,[1]Datasheet_2!$A$2:$H$611,2,FALSE)</f>
        <v>595</v>
      </c>
      <c r="J597">
        <f>VLOOKUP(A597,[1]Datasheet_2!$A$2:$H$611,3,FALSE)</f>
        <v>0.21210000000000001</v>
      </c>
      <c r="K597" s="9">
        <f>VLOOKUP(A597,[1]Datasheet_2!$A$2:$H$611,4,FALSE)</f>
        <v>0.75</v>
      </c>
      <c r="L597" s="8">
        <f>VLOOKUP(A597,[1]Datasheet_2!$A$2:$H$611,5,FALSE)</f>
        <v>0.1343</v>
      </c>
      <c r="M597" s="8">
        <f>VLOOKUP(A597,[1]Datasheet_2!$A$2:$H$611,6,FALSE)</f>
        <v>0</v>
      </c>
      <c r="N597" s="8">
        <f>VLOOKUP(A597,[1]Datasheet_2!$A$2:$H$611,7,FALSE)</f>
        <v>9</v>
      </c>
      <c r="O597" s="9">
        <f>VLOOKUP(A597,[1]Datasheet_2!$A$2:$H$611,8,FALSE)</f>
        <v>9</v>
      </c>
    </row>
    <row r="598" spans="1:15" x14ac:dyDescent="0.3">
      <c r="A598" s="4">
        <v>597</v>
      </c>
      <c r="B598" s="5">
        <v>40571</v>
      </c>
      <c r="C598" s="4">
        <v>1</v>
      </c>
      <c r="D598" s="4">
        <v>1</v>
      </c>
      <c r="E598" s="4" t="b">
        <v>0</v>
      </c>
      <c r="F598" s="4">
        <v>5</v>
      </c>
      <c r="G598" s="4">
        <v>2</v>
      </c>
      <c r="H598" s="4">
        <v>0.2</v>
      </c>
      <c r="I598">
        <f>VLOOKUP(A598,[1]Datasheet_2!$A$2:$H$611,2,FALSE)</f>
        <v>596</v>
      </c>
      <c r="J598">
        <f>VLOOKUP(A598,[1]Datasheet_2!$A$2:$H$611,3,FALSE)</f>
        <v>0.21210000000000001</v>
      </c>
      <c r="K598" s="9">
        <f>VLOOKUP(A598,[1]Datasheet_2!$A$2:$H$611,4,FALSE)</f>
        <v>0.75</v>
      </c>
      <c r="L598" s="8">
        <f>VLOOKUP(A598,[1]Datasheet_2!$A$2:$H$611,5,FALSE)</f>
        <v>0.1343</v>
      </c>
      <c r="M598" s="8">
        <f>VLOOKUP(A598,[1]Datasheet_2!$A$2:$H$611,6,FALSE)</f>
        <v>1</v>
      </c>
      <c r="N598" s="8">
        <f>VLOOKUP(A598,[1]Datasheet_2!$A$2:$H$611,7,FALSE)</f>
        <v>2</v>
      </c>
      <c r="O598" s="9">
        <f>VLOOKUP(A598,[1]Datasheet_2!$A$2:$H$611,8,FALSE)</f>
        <v>3</v>
      </c>
    </row>
    <row r="599" spans="1:15" x14ac:dyDescent="0.3">
      <c r="A599" s="4">
        <v>598</v>
      </c>
      <c r="B599" s="5">
        <v>40571</v>
      </c>
      <c r="C599" s="4">
        <v>1</v>
      </c>
      <c r="D599" s="4">
        <v>2</v>
      </c>
      <c r="E599" s="4" t="b">
        <v>0</v>
      </c>
      <c r="F599" s="4">
        <v>5</v>
      </c>
      <c r="G599" s="4">
        <v>2</v>
      </c>
      <c r="H599" s="4">
        <v>0.2</v>
      </c>
      <c r="I599">
        <f>VLOOKUP(A599,[1]Datasheet_2!$A$2:$H$611,2,FALSE)</f>
        <v>597</v>
      </c>
      <c r="J599">
        <f>VLOOKUP(A599,[1]Datasheet_2!$A$2:$H$611,3,FALSE)</f>
        <v>0.21210000000000001</v>
      </c>
      <c r="K599" s="9">
        <f>VLOOKUP(A599,[1]Datasheet_2!$A$2:$H$611,4,FALSE)</f>
        <v>0.75</v>
      </c>
      <c r="L599" s="8">
        <f>VLOOKUP(A599,[1]Datasheet_2!$A$2:$H$611,5,FALSE)</f>
        <v>0.16420000000000001</v>
      </c>
      <c r="M599" s="8">
        <f>VLOOKUP(A599,[1]Datasheet_2!$A$2:$H$611,6,FALSE)</f>
        <v>0</v>
      </c>
      <c r="N599" s="8">
        <f>VLOOKUP(A599,[1]Datasheet_2!$A$2:$H$611,7,FALSE)</f>
        <v>2</v>
      </c>
      <c r="O599" s="9">
        <f>VLOOKUP(A599,[1]Datasheet_2!$A$2:$H$611,8,FALSE)</f>
        <v>2</v>
      </c>
    </row>
    <row r="600" spans="1:15" x14ac:dyDescent="0.3">
      <c r="A600" s="4">
        <v>599</v>
      </c>
      <c r="B600" s="5">
        <v>40571</v>
      </c>
      <c r="C600" s="4">
        <v>1</v>
      </c>
      <c r="D600" s="4">
        <v>3</v>
      </c>
      <c r="E600" s="4" t="b">
        <v>0</v>
      </c>
      <c r="F600" s="4">
        <v>5</v>
      </c>
      <c r="G600" s="4">
        <v>2</v>
      </c>
      <c r="H600" s="4">
        <v>0.2</v>
      </c>
      <c r="I600">
        <f>VLOOKUP(A600,[1]Datasheet_2!$A$2:$H$611,2,FALSE)</f>
        <v>598</v>
      </c>
      <c r="J600">
        <f>VLOOKUP(A600,[1]Datasheet_2!$A$2:$H$611,3,FALSE)</f>
        <v>0.2273</v>
      </c>
      <c r="K600" s="9">
        <f>VLOOKUP(A600,[1]Datasheet_2!$A$2:$H$611,4,FALSE)</f>
        <v>0.75</v>
      </c>
      <c r="L600" s="8">
        <f>VLOOKUP(A600,[1]Datasheet_2!$A$2:$H$611,5,FALSE)</f>
        <v>0.1045</v>
      </c>
      <c r="M600" s="8">
        <f>VLOOKUP(A600,[1]Datasheet_2!$A$2:$H$611,6,FALSE)</f>
        <v>1</v>
      </c>
      <c r="N600" s="8">
        <f>VLOOKUP(A600,[1]Datasheet_2!$A$2:$H$611,7,FALSE)</f>
        <v>0</v>
      </c>
      <c r="O600" s="9">
        <f>VLOOKUP(A600,[1]Datasheet_2!$A$2:$H$611,8,FALSE)</f>
        <v>1</v>
      </c>
    </row>
    <row r="601" spans="1:15" x14ac:dyDescent="0.3">
      <c r="A601" s="4">
        <v>600</v>
      </c>
      <c r="B601" s="5">
        <v>40571</v>
      </c>
      <c r="C601" s="4">
        <v>1</v>
      </c>
      <c r="D601" s="4">
        <v>5</v>
      </c>
      <c r="E601" s="4" t="b">
        <v>0</v>
      </c>
      <c r="F601" s="4">
        <v>5</v>
      </c>
      <c r="G601" s="4">
        <v>2</v>
      </c>
      <c r="H601" s="4">
        <v>0.18</v>
      </c>
      <c r="I601">
        <f>VLOOKUP(A601,[1]Datasheet_2!$A$2:$H$611,2,FALSE)</f>
        <v>599</v>
      </c>
      <c r="J601">
        <f>VLOOKUP(A601,[1]Datasheet_2!$A$2:$H$611,3,FALSE)</f>
        <v>0.21210000000000001</v>
      </c>
      <c r="K601" s="9">
        <f>VLOOKUP(A601,[1]Datasheet_2!$A$2:$H$611,4,FALSE)</f>
        <v>0.8</v>
      </c>
      <c r="L601" s="8">
        <f>VLOOKUP(A601,[1]Datasheet_2!$A$2:$H$611,5,FALSE)</f>
        <v>0.1045</v>
      </c>
      <c r="M601" s="8">
        <f>VLOOKUP(A601,[1]Datasheet_2!$A$2:$H$611,6,FALSE)</f>
        <v>0</v>
      </c>
      <c r="N601" s="8">
        <f>VLOOKUP(A601,[1]Datasheet_2!$A$2:$H$611,7,FALSE)</f>
        <v>4</v>
      </c>
      <c r="O601" s="9">
        <f>VLOOKUP(A601,[1]Datasheet_2!$A$2:$H$611,8,FALSE)</f>
        <v>4</v>
      </c>
    </row>
    <row r="602" spans="1:15" x14ac:dyDescent="0.3">
      <c r="A602" s="4">
        <v>601</v>
      </c>
      <c r="B602" s="5">
        <v>40571</v>
      </c>
      <c r="C602" s="4">
        <v>1</v>
      </c>
      <c r="D602" s="4">
        <v>6</v>
      </c>
      <c r="E602" s="4" t="b">
        <v>0</v>
      </c>
      <c r="F602" s="4">
        <v>5</v>
      </c>
      <c r="G602" s="4">
        <v>2</v>
      </c>
      <c r="H602" s="4">
        <v>0.18</v>
      </c>
      <c r="I602">
        <f>VLOOKUP(A602,[1]Datasheet_2!$A$2:$H$611,2,FALSE)</f>
        <v>600</v>
      </c>
      <c r="J602">
        <f>VLOOKUP(A602,[1]Datasheet_2!$A$2:$H$611,3,FALSE)</f>
        <v>0.19700000000000001</v>
      </c>
      <c r="K602" s="9">
        <f>VLOOKUP(A602,[1]Datasheet_2!$A$2:$H$611,4,FALSE)</f>
        <v>0.8</v>
      </c>
      <c r="L602" s="8">
        <f>VLOOKUP(A602,[1]Datasheet_2!$A$2:$H$611,5,FALSE)</f>
        <v>0.1343</v>
      </c>
      <c r="M602" s="8">
        <f>VLOOKUP(A602,[1]Datasheet_2!$A$2:$H$611,6,FALSE)</f>
        <v>0</v>
      </c>
      <c r="N602" s="8">
        <f>VLOOKUP(A602,[1]Datasheet_2!$A$2:$H$611,7,FALSE)</f>
        <v>16</v>
      </c>
      <c r="O602" s="9">
        <f>VLOOKUP(A602,[1]Datasheet_2!$A$2:$H$611,8,FALSE)</f>
        <v>16</v>
      </c>
    </row>
    <row r="603" spans="1:15" x14ac:dyDescent="0.3">
      <c r="A603" s="4">
        <v>602</v>
      </c>
      <c r="B603" s="5">
        <v>40571</v>
      </c>
      <c r="C603" s="4">
        <v>1</v>
      </c>
      <c r="D603" s="4">
        <v>7</v>
      </c>
      <c r="E603" s="4" t="b">
        <v>0</v>
      </c>
      <c r="F603" s="4">
        <v>5</v>
      </c>
      <c r="G603" s="4">
        <v>2</v>
      </c>
      <c r="H603" s="4">
        <v>0.16</v>
      </c>
      <c r="I603">
        <f>VLOOKUP(A603,[1]Datasheet_2!$A$2:$H$611,2,FALSE)</f>
        <v>601</v>
      </c>
      <c r="J603">
        <f>VLOOKUP(A603,[1]Datasheet_2!$A$2:$H$611,3,FALSE)</f>
        <v>0.19700000000000001</v>
      </c>
      <c r="K603" s="9">
        <f>VLOOKUP(A603,[1]Datasheet_2!$A$2:$H$611,4,FALSE)</f>
        <v>0.86</v>
      </c>
      <c r="L603" s="8">
        <f>VLOOKUP(A603,[1]Datasheet_2!$A$2:$H$611,5,FALSE)</f>
        <v>8.9599999999999999E-2</v>
      </c>
      <c r="M603" s="8">
        <f>VLOOKUP(A603,[1]Datasheet_2!$A$2:$H$611,6,FALSE)</f>
        <v>2</v>
      </c>
      <c r="N603" s="8">
        <f>VLOOKUP(A603,[1]Datasheet_2!$A$2:$H$611,7,FALSE)</f>
        <v>58</v>
      </c>
      <c r="O603" s="9">
        <f>VLOOKUP(A603,[1]Datasheet_2!$A$2:$H$611,8,FALSE)</f>
        <v>60</v>
      </c>
    </row>
    <row r="604" spans="1:15" x14ac:dyDescent="0.3">
      <c r="A604" s="4">
        <v>603</v>
      </c>
      <c r="B604" s="5">
        <v>40571</v>
      </c>
      <c r="C604" s="4">
        <v>1</v>
      </c>
      <c r="D604" s="4">
        <v>8</v>
      </c>
      <c r="E604" s="4" t="b">
        <v>0</v>
      </c>
      <c r="F604" s="4">
        <v>5</v>
      </c>
      <c r="G604" s="4">
        <v>2</v>
      </c>
      <c r="H604" s="4">
        <v>0.16</v>
      </c>
      <c r="I604">
        <f>VLOOKUP(A604,[1]Datasheet_2!$A$2:$H$611,2,FALSE)</f>
        <v>602</v>
      </c>
      <c r="J604">
        <f>VLOOKUP(A604,[1]Datasheet_2!$A$2:$H$611,3,FALSE)</f>
        <v>0.19700000000000001</v>
      </c>
      <c r="K604" s="9">
        <f>VLOOKUP(A604,[1]Datasheet_2!$A$2:$H$611,4,FALSE)</f>
        <v>0.86</v>
      </c>
      <c r="L604" s="8">
        <f>VLOOKUP(A604,[1]Datasheet_2!$A$2:$H$611,5,FALSE)</f>
        <v>8.9599999999999999E-2</v>
      </c>
      <c r="M604" s="8">
        <f>VLOOKUP(A604,[1]Datasheet_2!$A$2:$H$611,6,FALSE)</f>
        <v>2</v>
      </c>
      <c r="N604" s="8">
        <f>VLOOKUP(A604,[1]Datasheet_2!$A$2:$H$611,7,FALSE)</f>
        <v>155</v>
      </c>
      <c r="O604" s="9">
        <f>VLOOKUP(A604,[1]Datasheet_2!$A$2:$H$611,8,FALSE)</f>
        <v>157</v>
      </c>
    </row>
    <row r="605" spans="1:15" x14ac:dyDescent="0.3">
      <c r="A605" s="4">
        <v>604</v>
      </c>
      <c r="B605" s="5">
        <v>40571</v>
      </c>
      <c r="C605" s="4">
        <v>1</v>
      </c>
      <c r="D605" s="4">
        <v>9</v>
      </c>
      <c r="E605" s="4" t="b">
        <v>0</v>
      </c>
      <c r="F605" s="4">
        <v>5</v>
      </c>
      <c r="G605" s="4">
        <v>3</v>
      </c>
      <c r="H605" s="4">
        <v>0.18</v>
      </c>
      <c r="I605">
        <f>VLOOKUP(A605,[1]Datasheet_2!$A$2:$H$611,2,FALSE)</f>
        <v>603</v>
      </c>
      <c r="J605">
        <f>VLOOKUP(A605,[1]Datasheet_2!$A$2:$H$611,3,FALSE)</f>
        <v>0.21210000000000001</v>
      </c>
      <c r="K605" s="9">
        <f>VLOOKUP(A605,[1]Datasheet_2!$A$2:$H$611,4,FALSE)</f>
        <v>0.86</v>
      </c>
      <c r="L605" s="8">
        <f>VLOOKUP(A605,[1]Datasheet_2!$A$2:$H$611,5,FALSE)</f>
        <v>8.9599999999999999E-2</v>
      </c>
      <c r="M605" s="8">
        <f>VLOOKUP(A605,[1]Datasheet_2!$A$2:$H$611,6,FALSE)</f>
        <v>6</v>
      </c>
      <c r="N605" s="8">
        <f>VLOOKUP(A605,[1]Datasheet_2!$A$2:$H$611,7,FALSE)</f>
        <v>95</v>
      </c>
      <c r="O605" s="9">
        <f>VLOOKUP(A605,[1]Datasheet_2!$A$2:$H$611,8,FALSE)</f>
        <v>101</v>
      </c>
    </row>
    <row r="606" spans="1:15" x14ac:dyDescent="0.3">
      <c r="A606" s="4">
        <v>605</v>
      </c>
      <c r="B606" s="5">
        <v>40571</v>
      </c>
      <c r="C606" s="4">
        <v>1</v>
      </c>
      <c r="D606" s="4">
        <v>10</v>
      </c>
      <c r="E606" s="4" t="b">
        <v>0</v>
      </c>
      <c r="F606" s="4">
        <v>5</v>
      </c>
      <c r="G606" s="4">
        <v>3</v>
      </c>
      <c r="H606" s="4">
        <v>0.18</v>
      </c>
      <c r="I606">
        <f>VLOOKUP(A606,[1]Datasheet_2!$A$2:$H$611,2,FALSE)</f>
        <v>604</v>
      </c>
      <c r="J606">
        <f>VLOOKUP(A606,[1]Datasheet_2!$A$2:$H$611,3,FALSE)</f>
        <v>0.21210000000000001</v>
      </c>
      <c r="K606" s="9">
        <f>VLOOKUP(A606,[1]Datasheet_2!$A$2:$H$611,4,FALSE)</f>
        <v>0.86</v>
      </c>
      <c r="L606" s="8">
        <f>VLOOKUP(A606,[1]Datasheet_2!$A$2:$H$611,5,FALSE)</f>
        <v>0.1045</v>
      </c>
      <c r="M606" s="8">
        <f>VLOOKUP(A606,[1]Datasheet_2!$A$2:$H$611,6,FALSE)</f>
        <v>0</v>
      </c>
      <c r="N606" s="8">
        <f>VLOOKUP(A606,[1]Datasheet_2!$A$2:$H$611,7,FALSE)</f>
        <v>49</v>
      </c>
      <c r="O606" s="9">
        <f>VLOOKUP(A606,[1]Datasheet_2!$A$2:$H$611,8,FALSE)</f>
        <v>49</v>
      </c>
    </row>
    <row r="607" spans="1:15" x14ac:dyDescent="0.3">
      <c r="A607" s="4">
        <v>606</v>
      </c>
      <c r="B607" s="5">
        <v>40571</v>
      </c>
      <c r="C607" s="4">
        <v>1</v>
      </c>
      <c r="D607" s="4">
        <v>11</v>
      </c>
      <c r="E607" s="4" t="b">
        <v>0</v>
      </c>
      <c r="F607" s="4">
        <v>5</v>
      </c>
      <c r="G607" s="4">
        <v>3</v>
      </c>
      <c r="H607" s="4">
        <v>0.18</v>
      </c>
      <c r="I607">
        <f>VLOOKUP(A607,[1]Datasheet_2!$A$2:$H$611,2,FALSE)</f>
        <v>605</v>
      </c>
      <c r="J607">
        <f>VLOOKUP(A607,[1]Datasheet_2!$A$2:$H$611,3,FALSE)</f>
        <v>0.21210000000000001</v>
      </c>
      <c r="K607" s="9">
        <f>VLOOKUP(A607,[1]Datasheet_2!$A$2:$H$611,4,FALSE)</f>
        <v>0.93</v>
      </c>
      <c r="L607" s="8">
        <f>VLOOKUP(A607,[1]Datasheet_2!$A$2:$H$611,5,FALSE)</f>
        <v>0.1045</v>
      </c>
      <c r="M607" s="8">
        <f>VLOOKUP(A607,[1]Datasheet_2!$A$2:$H$611,6,FALSE)</f>
        <v>0</v>
      </c>
      <c r="N607" s="8">
        <f>VLOOKUP(A607,[1]Datasheet_2!$A$2:$H$611,7,FALSE)</f>
        <v>30</v>
      </c>
      <c r="O607" s="9">
        <f>VLOOKUP(A607,[1]Datasheet_2!$A$2:$H$611,8,FALSE)</f>
        <v>30</v>
      </c>
    </row>
    <row r="608" spans="1:15" x14ac:dyDescent="0.3">
      <c r="A608" s="4">
        <v>607</v>
      </c>
      <c r="B608" s="5">
        <v>40571</v>
      </c>
      <c r="C608" s="4">
        <v>1</v>
      </c>
      <c r="D608" s="4">
        <v>12</v>
      </c>
      <c r="E608" s="4" t="b">
        <v>0</v>
      </c>
      <c r="F608" s="4">
        <v>5</v>
      </c>
      <c r="G608" s="4">
        <v>3</v>
      </c>
      <c r="H608" s="4">
        <v>0.18</v>
      </c>
      <c r="I608">
        <f>VLOOKUP(A608,[1]Datasheet_2!$A$2:$H$611,2,FALSE)</f>
        <v>606</v>
      </c>
      <c r="J608">
        <f>VLOOKUP(A608,[1]Datasheet_2!$A$2:$H$611,3,FALSE)</f>
        <v>0.21210000000000001</v>
      </c>
      <c r="K608" s="9">
        <f>VLOOKUP(A608,[1]Datasheet_2!$A$2:$H$611,4,FALSE)</f>
        <v>0.93</v>
      </c>
      <c r="L608" s="8">
        <f>VLOOKUP(A608,[1]Datasheet_2!$A$2:$H$611,5,FALSE)</f>
        <v>0.1045</v>
      </c>
      <c r="M608" s="8">
        <f>VLOOKUP(A608,[1]Datasheet_2!$A$2:$H$611,6,FALSE)</f>
        <v>1</v>
      </c>
      <c r="N608" s="8">
        <f>VLOOKUP(A608,[1]Datasheet_2!$A$2:$H$611,7,FALSE)</f>
        <v>28</v>
      </c>
      <c r="O608" s="9">
        <f>VLOOKUP(A608,[1]Datasheet_2!$A$2:$H$611,8,FALSE)</f>
        <v>29</v>
      </c>
    </row>
    <row r="609" spans="1:15" x14ac:dyDescent="0.3">
      <c r="A609" s="4">
        <v>608</v>
      </c>
      <c r="B609" s="5">
        <v>40571</v>
      </c>
      <c r="C609" s="4">
        <v>1</v>
      </c>
      <c r="D609" s="4">
        <v>13</v>
      </c>
      <c r="E609" s="4" t="b">
        <v>0</v>
      </c>
      <c r="F609" s="4">
        <v>5</v>
      </c>
      <c r="G609" s="4">
        <v>3</v>
      </c>
      <c r="H609" s="4">
        <v>0.18</v>
      </c>
      <c r="I609">
        <f>VLOOKUP(A609,[1]Datasheet_2!$A$2:$H$611,2,FALSE)</f>
        <v>607</v>
      </c>
      <c r="J609">
        <f>VLOOKUP(A609,[1]Datasheet_2!$A$2:$H$611,3,FALSE)</f>
        <v>0.21210000000000001</v>
      </c>
      <c r="K609" s="9">
        <f>VLOOKUP(A609,[1]Datasheet_2!$A$2:$H$611,4,FALSE)</f>
        <v>0.93</v>
      </c>
      <c r="L609" s="8">
        <f>VLOOKUP(A609,[1]Datasheet_2!$A$2:$H$611,5,FALSE)</f>
        <v>0.1045</v>
      </c>
      <c r="M609" s="8">
        <f>VLOOKUP(A609,[1]Datasheet_2!$A$2:$H$611,6,FALSE)</f>
        <v>0</v>
      </c>
      <c r="N609" s="8">
        <f>VLOOKUP(A609,[1]Datasheet_2!$A$2:$H$611,7,FALSE)</f>
        <v>31</v>
      </c>
      <c r="O609" s="9">
        <f>VLOOKUP(A609,[1]Datasheet_2!$A$2:$H$611,8,FALSE)</f>
        <v>31</v>
      </c>
    </row>
    <row r="610" spans="1:15" x14ac:dyDescent="0.3">
      <c r="A610" s="4">
        <v>609</v>
      </c>
      <c r="B610" s="5">
        <v>40571</v>
      </c>
      <c r="C610" s="4">
        <v>1</v>
      </c>
      <c r="D610" s="4">
        <v>14</v>
      </c>
      <c r="E610" s="4" t="b">
        <v>0</v>
      </c>
      <c r="F610" s="4">
        <v>5</v>
      </c>
      <c r="G610" s="4">
        <v>3</v>
      </c>
      <c r="H610" s="4">
        <v>0.22</v>
      </c>
      <c r="I610">
        <f>VLOOKUP(A610,[1]Datasheet_2!$A$2:$H$611,2,FALSE)</f>
        <v>608</v>
      </c>
      <c r="J610">
        <f>VLOOKUP(A610,[1]Datasheet_2!$A$2:$H$611,3,FALSE)</f>
        <v>0.2727</v>
      </c>
      <c r="K610" s="9">
        <f>VLOOKUP(A610,[1]Datasheet_2!$A$2:$H$611,4,FALSE)</f>
        <v>0.8</v>
      </c>
      <c r="L610" s="8">
        <f>VLOOKUP(A610,[1]Datasheet_2!$A$2:$H$611,5,FALSE)</f>
        <v>0</v>
      </c>
      <c r="M610" s="8">
        <f>VLOOKUP(A610,[1]Datasheet_2!$A$2:$H$611,6,FALSE)</f>
        <v>2</v>
      </c>
      <c r="N610" s="8">
        <f>VLOOKUP(A610,[1]Datasheet_2!$A$2:$H$611,7,FALSE)</f>
        <v>36</v>
      </c>
      <c r="O610" s="9">
        <f>VLOOKUP(A610,[1]Datasheet_2!$A$2:$H$611,8,FALSE)</f>
        <v>38</v>
      </c>
    </row>
    <row r="611" spans="1:15" x14ac:dyDescent="0.3">
      <c r="A611" s="4">
        <v>610</v>
      </c>
      <c r="B611" s="5">
        <v>40571</v>
      </c>
      <c r="C611" s="4">
        <v>1</v>
      </c>
      <c r="D611" s="4">
        <v>15</v>
      </c>
      <c r="E611" s="4" t="b">
        <v>0</v>
      </c>
      <c r="F611" s="4">
        <v>5</v>
      </c>
      <c r="G611" s="4">
        <v>2</v>
      </c>
      <c r="H611" s="4">
        <v>0.2</v>
      </c>
      <c r="I611">
        <f>VLOOKUP(A611,[1]Datasheet_2!$A$2:$H$611,2,FALSE)</f>
        <v>609</v>
      </c>
      <c r="J611">
        <f>VLOOKUP(A611,[1]Datasheet_2!$A$2:$H$611,3,FALSE)</f>
        <v>0.2576</v>
      </c>
      <c r="K611" s="9">
        <f>VLOOKUP(A611,[1]Datasheet_2!$A$2:$H$611,4,FALSE)</f>
        <v>0.86</v>
      </c>
      <c r="L611" s="8">
        <f>VLOOKUP(A611,[1]Datasheet_2!$A$2:$H$611,5,FALSE)</f>
        <v>0</v>
      </c>
      <c r="M611" s="8">
        <f>VLOOKUP(A611,[1]Datasheet_2!$A$2:$H$611,6,FALSE)</f>
        <v>1</v>
      </c>
      <c r="N611" s="8">
        <f>VLOOKUP(A611,[1]Datasheet_2!$A$2:$H$611,7,FALSE)</f>
        <v>40</v>
      </c>
      <c r="O611" s="9">
        <f>VLOOKUP(A611,[1]Datasheet_2!$A$2:$H$611,8,FALSE)</f>
        <v>41</v>
      </c>
    </row>
  </sheetData>
  <autoFilter ref="A1:O611" xr:uid="{00000000-0001-0000-0000-000000000000}"/>
  <sortState xmlns:xlrd2="http://schemas.microsoft.com/office/spreadsheetml/2017/richdata2" ref="A2:O611">
    <sortCondition ref="B2:B6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Demand</vt:lpstr>
      <vt:lpstr>weathersit</vt:lpstr>
      <vt:lpstr>Temp</vt:lpstr>
      <vt:lpstr>Holiday</vt:lpstr>
      <vt:lpstr>Windspeed</vt:lpstr>
      <vt:lpstr>Hum</vt:lpstr>
      <vt:lpstr>Weekday</vt:lpstr>
      <vt:lpstr>Hr</vt:lpstr>
      <vt:lpstr>Datasheet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SHARMA</dc:creator>
  <cp:lastModifiedBy>SUDHANSHU SHARMA</cp:lastModifiedBy>
  <dcterms:created xsi:type="dcterms:W3CDTF">2015-06-05T18:17:20Z</dcterms:created>
  <dcterms:modified xsi:type="dcterms:W3CDTF">2026-03-25T05:23:47Z</dcterms:modified>
</cp:coreProperties>
</file>